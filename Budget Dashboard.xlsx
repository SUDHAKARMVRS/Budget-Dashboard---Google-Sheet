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<sst xmlns="http://schemas.openxmlformats.org/spreadsheetml/2006/main" count="123" uniqueCount="78">
  <si>
    <t>JANUARY</t>
  </si>
  <si>
    <t>BUDGET DASHBOARD</t>
  </si>
  <si>
    <t>Category</t>
  </si>
  <si>
    <t>Budget</t>
  </si>
  <si>
    <t>Actual</t>
  </si>
  <si>
    <t xml:space="preserve"> </t>
  </si>
  <si>
    <t>OVERVIEW</t>
  </si>
  <si>
    <t>BILLS</t>
  </si>
  <si>
    <t>START DATE</t>
  </si>
  <si>
    <t>01.01.2026</t>
  </si>
  <si>
    <t>EXPENSES</t>
  </si>
  <si>
    <t>Total Income</t>
  </si>
  <si>
    <t>END DATE</t>
  </si>
  <si>
    <t>30.01.2026</t>
  </si>
  <si>
    <t>`</t>
  </si>
  <si>
    <t>DEBT</t>
  </si>
  <si>
    <t>Total Spend</t>
  </si>
  <si>
    <t>CHANGE CURRENCY</t>
  </si>
  <si>
    <t xml:space="preserve">£ </t>
  </si>
  <si>
    <t>SAVINGS</t>
  </si>
  <si>
    <t>START BALANCE</t>
  </si>
  <si>
    <t>CASH FLOW</t>
  </si>
  <si>
    <t>CATEGORY</t>
  </si>
  <si>
    <t>BUDGET</t>
  </si>
  <si>
    <t>ACTUAL</t>
  </si>
  <si>
    <t>BOX</t>
  </si>
  <si>
    <t>DUE</t>
  </si>
  <si>
    <t>LEFT</t>
  </si>
  <si>
    <t>Start Balance</t>
  </si>
  <si>
    <t>Rent</t>
  </si>
  <si>
    <t>Groceries</t>
  </si>
  <si>
    <t>Credit Card 1</t>
  </si>
  <si>
    <t>Income</t>
  </si>
  <si>
    <t>Electricity</t>
  </si>
  <si>
    <t>Fuel</t>
  </si>
  <si>
    <t>Credit Card 2</t>
  </si>
  <si>
    <t>Bills</t>
  </si>
  <si>
    <t>Water</t>
  </si>
  <si>
    <t>Transport</t>
  </si>
  <si>
    <t>Car Loan</t>
  </si>
  <si>
    <t>Expenses</t>
  </si>
  <si>
    <t>Internet</t>
  </si>
  <si>
    <t>Dining Out</t>
  </si>
  <si>
    <t>Personal Loan</t>
  </si>
  <si>
    <t>Savings</t>
  </si>
  <si>
    <t>Phone</t>
  </si>
  <si>
    <t>Entertainment</t>
  </si>
  <si>
    <t>Debt</t>
  </si>
  <si>
    <t>Insurance</t>
  </si>
  <si>
    <t>Shopping</t>
  </si>
  <si>
    <t>Left</t>
  </si>
  <si>
    <t>Gym</t>
  </si>
  <si>
    <t>Coffee</t>
  </si>
  <si>
    <t>INCOME SUMMARY</t>
  </si>
  <si>
    <t>Paycheck</t>
  </si>
  <si>
    <t>Freelance</t>
  </si>
  <si>
    <t>Inverstmments</t>
  </si>
  <si>
    <t>Other</t>
  </si>
  <si>
    <t>Emergency Fund</t>
  </si>
  <si>
    <t>Retirement</t>
  </si>
  <si>
    <t>Vacation</t>
  </si>
  <si>
    <t>Investments</t>
  </si>
  <si>
    <t>EXPENSE TRACKER</t>
  </si>
  <si>
    <t>BILLS SPENDING BREAKDOWN</t>
  </si>
  <si>
    <t>EXPENSES SPENDING BREAKDOWN</t>
  </si>
  <si>
    <t>DEBT SPENDING BREAKDOWN</t>
  </si>
  <si>
    <t>DATE</t>
  </si>
  <si>
    <t>AMOUNT</t>
  </si>
  <si>
    <t>NOTES</t>
  </si>
  <si>
    <t>PERCENTAGE</t>
  </si>
  <si>
    <t xml:space="preserve">Supermarket </t>
  </si>
  <si>
    <t>Petrol for Car , Bike</t>
  </si>
  <si>
    <t>Bus Fare</t>
  </si>
  <si>
    <t>Restaurant</t>
  </si>
  <si>
    <t>Movies</t>
  </si>
  <si>
    <t>Clothes</t>
  </si>
  <si>
    <t>Workout</t>
  </si>
  <si>
    <t>Cafe,Snacks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</si>
</sst>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D$6] #,##0"/>
    <numFmt numFmtId="165" formatCode="[$F$6] #,##0"/>
    <numFmt numFmtId="166" formatCode="dd/MM/yyyy"/>
  </numFmts>
  <fonts count="55">
    <font>
      <sz val="10.0"/>
      <color rgb="FF000000"/>
      <name val="Arial"/>
      <scheme val="minor"/>
    </font>
    <font>
      <b/>
      <sz val="44.0"/>
      <color rgb="FF741B47"/>
      <name val="Roboto Serif"/>
    </font>
    <font>
      <color theme="1"/>
      <name val="Arial"/>
      <scheme val="minor"/>
    </font>
    <font/>
    <font>
      <b/>
      <sz val="16.0"/>
      <color theme="1"/>
      <name val="Arial"/>
      <scheme val="minor"/>
    </font>
    <font>
      <b/>
      <color theme="1"/>
      <name val="Arial"/>
      <scheme val="minor"/>
    </font>
    <font>
      <b/>
      <sz val="30.0"/>
      <color rgb="FF0000FF"/>
      <name val="Roboto Serif"/>
    </font>
    <font>
      <sz val="10.0"/>
      <color theme="1"/>
      <name val="Arial"/>
      <scheme val="minor"/>
    </font>
    <font>
      <sz val="12.0"/>
      <color theme="1"/>
      <name val="Arial"/>
      <scheme val="minor"/>
    </font>
    <font>
      <b/>
      <i/>
      <sz val="18.0"/>
      <color rgb="FF000000"/>
      <name val="Roboto Serif"/>
    </font>
    <font>
      <sz val="11.0"/>
      <color theme="1"/>
      <name val="Arial"/>
      <scheme val="minor"/>
    </font>
    <font>
      <b/>
      <sz val="16.0"/>
      <color rgb="FF783F04"/>
      <name val="Roboto Mono"/>
    </font>
    <font>
      <sz val="16.0"/>
      <color rgb="FF783F04"/>
      <name val="Roboto Mono"/>
    </font>
    <font>
      <b/>
      <sz val="24.0"/>
      <color rgb="FF990000"/>
      <name val="Lobster"/>
    </font>
    <font>
      <sz val="17.0"/>
      <color rgb="FF783F04"/>
      <name val="Roboto Mono"/>
    </font>
    <font>
      <b/>
      <i/>
      <sz val="20.0"/>
      <color rgb="FF134F5C"/>
      <name val="Roboto Serif"/>
    </font>
    <font>
      <b/>
      <i/>
      <sz val="20.0"/>
      <color rgb="FF741B47"/>
      <name val="Roboto Serif"/>
    </font>
    <font>
      <b/>
      <i/>
      <sz val="20.0"/>
      <color rgb="FF783F04"/>
      <name val="Roboto Serif"/>
    </font>
    <font>
      <b/>
      <i/>
      <sz val="20.0"/>
      <color rgb="FF073763"/>
      <name val="Roboto Serif"/>
    </font>
    <font>
      <b/>
      <sz val="16.0"/>
      <color rgb="FF134F5C"/>
      <name val="Oswald"/>
    </font>
    <font>
      <b/>
      <sz val="17.0"/>
      <color rgb="FF134F5C"/>
      <name val="Oswald"/>
    </font>
    <font>
      <b/>
      <sz val="16.0"/>
      <color rgb="FF741B47"/>
      <name val="Oswald"/>
    </font>
    <font>
      <b/>
      <sz val="16.0"/>
      <color rgb="FF783F04"/>
      <name val="Oswald"/>
    </font>
    <font>
      <b/>
      <sz val="16.0"/>
      <color rgb="FF073763"/>
      <name val="Oswald"/>
    </font>
    <font>
      <sz val="16.0"/>
      <color rgb="FF134F5C"/>
      <name val="Roboto Mono"/>
    </font>
    <font>
      <sz val="17.0"/>
      <color rgb="FF134F5C"/>
      <name val="Roboto Mono"/>
    </font>
    <font>
      <sz val="16.0"/>
      <color rgb="FF741B47"/>
      <name val="Arial"/>
      <scheme val="minor"/>
    </font>
    <font>
      <sz val="16.0"/>
      <color rgb="FF741B47"/>
      <name val="Comic Sans MS"/>
    </font>
    <font>
      <sz val="16.0"/>
      <color rgb="FF783F04"/>
      <name val="Arial"/>
      <scheme val="minor"/>
    </font>
    <font>
      <sz val="16.0"/>
      <color rgb="FF783F04"/>
      <name val="Comfortaa"/>
    </font>
    <font>
      <sz val="16.0"/>
      <color rgb="FF073763"/>
      <name val="Arial"/>
      <scheme val="minor"/>
    </font>
    <font>
      <sz val="16.0"/>
      <color rgb="FF073763"/>
      <name val="Verdana"/>
    </font>
    <font>
      <sz val="17.0"/>
      <color rgb="FF741B47"/>
      <name val="Arial"/>
      <scheme val="minor"/>
    </font>
    <font>
      <sz val="17.0"/>
      <color rgb="FF783F04"/>
      <name val="Comfortaa"/>
    </font>
    <font>
      <b/>
      <i/>
      <sz val="20.0"/>
      <color rgb="FF351C75"/>
      <name val="Arial"/>
      <scheme val="minor"/>
    </font>
    <font>
      <b/>
      <sz val="16.0"/>
      <color rgb="FF351C75"/>
      <name val="Oswald"/>
    </font>
    <font>
      <sz val="16.0"/>
      <color rgb="FF351C75"/>
      <name val="Roboto Mono"/>
    </font>
    <font>
      <b/>
      <i/>
      <sz val="16.0"/>
      <color rgb="FF741B47"/>
      <name val="Arial"/>
      <scheme val="minor"/>
    </font>
    <font>
      <sz val="16.0"/>
      <color theme="1"/>
      <name val="Arial"/>
      <scheme val="minor"/>
    </font>
    <font>
      <b/>
      <i/>
      <sz val="20.0"/>
      <color rgb="FF274E13"/>
      <name val="Arial"/>
      <scheme val="minor"/>
    </font>
    <font>
      <b/>
      <sz val="16.0"/>
      <color rgb="FF274E13"/>
      <name val="Oswald"/>
    </font>
    <font>
      <sz val="16.0"/>
      <color rgb="FF274E13"/>
      <name val="Roboto Mono"/>
    </font>
    <font>
      <b/>
      <i/>
      <sz val="20.0"/>
      <color rgb="FF783F04"/>
      <name val="Arial"/>
      <scheme val="minor"/>
    </font>
    <font>
      <b/>
      <i/>
      <sz val="20.0"/>
      <color theme="1"/>
      <name val="Arial"/>
      <scheme val="minor"/>
    </font>
    <font>
      <b/>
      <i/>
      <sz val="20.0"/>
      <color rgb="FF4C1130"/>
      <name val="Roboto Serif"/>
    </font>
    <font>
      <b/>
      <i/>
      <sz val="20.0"/>
      <color rgb="FF1C4587"/>
      <name val="Roboto Serif"/>
    </font>
    <font>
      <b/>
      <sz val="17.0"/>
      <color rgb="FF4C1130"/>
      <name val="Oswald"/>
    </font>
    <font>
      <b/>
      <sz val="17.0"/>
      <color rgb="FF783F04"/>
      <name val="Oswald"/>
    </font>
    <font>
      <b/>
      <sz val="17.0"/>
      <color rgb="FF1C4587"/>
      <name val="Oswald"/>
    </font>
    <font>
      <sz val="16.0"/>
      <color rgb="FF4C1130"/>
      <name val="Comic Sans MS"/>
    </font>
    <font>
      <sz val="16.0"/>
      <color rgb="FF1C4587"/>
      <name val="Verdana"/>
    </font>
    <font>
      <sz val="16.0"/>
      <color rgb="FF1C4587"/>
      <name val="Arial"/>
      <scheme val="minor"/>
    </font>
    <font>
      <sz val="17.0"/>
      <color rgb="FF1C4587"/>
      <name val="Arial"/>
      <scheme val="minor"/>
    </font>
    <font>
      <sz val="16.0"/>
      <color rgb="FF4C1130"/>
      <name val="Arial"/>
      <scheme val="minor"/>
    </font>
    <font>
      <sz val="17.0"/>
      <color rgb="FF4C1130"/>
      <name val="Arial"/>
      <scheme val="minor"/>
    </font>
  </fonts>
  <fills count="1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D5A6BD"/>
        <bgColor rgb="FFD5A6BD"/>
      </patternFill>
    </fill>
    <fill>
      <patternFill patternType="solid">
        <fgColor rgb="FFF6B26B"/>
        <bgColor rgb="FFF6B26B"/>
      </patternFill>
    </fill>
    <fill>
      <patternFill patternType="solid">
        <fgColor rgb="FF6FA8DC"/>
        <bgColor rgb="FF6FA8DC"/>
      </patternFill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theme="0"/>
        <bgColor theme="0"/>
      </patternFill>
    </fill>
  </fills>
  <borders count="120">
    <border/>
    <border>
      <left style="thin">
        <color rgb="FFFFFFFF"/>
      </left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top style="thin">
        <color rgb="FFFFFFFF"/>
      </top>
    </border>
    <border>
      <left style="thin">
        <color rgb="FFFFFFFF"/>
      </left>
    </border>
    <border>
      <right style="thin">
        <color rgb="FFFFFFFF"/>
      </right>
    </border>
    <border>
      <left style="thin">
        <color rgb="FFFFFFFF"/>
      </left>
      <right style="thin">
        <color rgb="FFFFFFFF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FFFF00"/>
      </left>
      <top style="thick">
        <color rgb="FFFFFF00"/>
      </top>
      <bottom style="thin">
        <color rgb="FFFFFF00"/>
      </bottom>
    </border>
    <border>
      <top style="thick">
        <color rgb="FFFFFF00"/>
      </top>
      <bottom style="thin">
        <color rgb="FFFFFF00"/>
      </bottom>
    </border>
    <border>
      <right style="thick">
        <color rgb="FFFFFF00"/>
      </right>
      <top style="thick">
        <color rgb="FFFFFF00"/>
      </top>
      <bottom style="thin">
        <color rgb="FFFFFF00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ck">
        <color rgb="FFFFFF00"/>
      </left>
      <top style="thin">
        <color rgb="FFFFFF00"/>
      </top>
      <bottom style="thin">
        <color rgb="FFFFFF00"/>
      </bottom>
    </border>
    <border>
      <top style="thin">
        <color rgb="FFFFFF00"/>
      </top>
      <bottom style="thin">
        <color rgb="FFFFFF00"/>
      </bottom>
    </border>
    <border>
      <right style="thin">
        <color rgb="FFFFFF00"/>
      </right>
      <top style="thin">
        <color rgb="FFFFFF00"/>
      </top>
      <bottom style="thin">
        <color rgb="FFFFFF00"/>
      </bottom>
    </border>
    <border>
      <left style="thin">
        <color rgb="FFFFFF00"/>
      </left>
      <right style="thick">
        <color rgb="FFFFFF00"/>
      </right>
      <top style="thin">
        <color rgb="FFFFFF00"/>
      </top>
      <bottom style="thin">
        <color rgb="FFFFFF00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ck">
        <color rgb="FFFFFF00"/>
      </left>
      <top style="thin">
        <color rgb="FFFFFF00"/>
      </top>
      <bottom style="thick">
        <color rgb="FFFFFF00"/>
      </bottom>
    </border>
    <border>
      <top style="thin">
        <color rgb="FFFFFF00"/>
      </top>
      <bottom style="thick">
        <color rgb="FFFFFF00"/>
      </bottom>
    </border>
    <border>
      <right style="thin">
        <color rgb="FFFFFF00"/>
      </right>
      <top style="thin">
        <color rgb="FFFFFF00"/>
      </top>
      <bottom style="thick">
        <color rgb="FFFFFF00"/>
      </bottom>
    </border>
    <border>
      <left style="thin">
        <color rgb="FFFFFF00"/>
      </left>
      <right style="thick">
        <color rgb="FFFFFF00"/>
      </right>
      <top style="thin">
        <color rgb="FFFFFF00"/>
      </top>
      <bottom style="thick">
        <color rgb="FFFFFF00"/>
      </bottom>
    </border>
    <border>
      <left style="thick">
        <color rgb="FF134F5C"/>
      </left>
      <top style="thick">
        <color rgb="FF134F5C"/>
      </top>
      <bottom style="thin">
        <color rgb="FF0B5394"/>
      </bottom>
    </border>
    <border>
      <top style="thick">
        <color rgb="FF134F5C"/>
      </top>
      <bottom style="thin">
        <color rgb="FF0B5394"/>
      </bottom>
    </border>
    <border>
      <right style="thick">
        <color rgb="FF134F5C"/>
      </right>
      <top style="thick">
        <color rgb="FF134F5C"/>
      </top>
      <bottom style="thin">
        <color rgb="FF0B5394"/>
      </bottom>
    </border>
    <border>
      <left style="thick">
        <color rgb="FF741B47"/>
      </left>
      <top style="thick">
        <color rgb="FF741B47"/>
      </top>
      <bottom style="thin">
        <color rgb="FF741B47"/>
      </bottom>
    </border>
    <border>
      <top style="thick">
        <color rgb="FF741B47"/>
      </top>
      <bottom style="thin">
        <color rgb="FF741B47"/>
      </bottom>
    </border>
    <border>
      <right style="thick">
        <color rgb="FF741B47"/>
      </right>
      <top style="thick">
        <color rgb="FF741B47"/>
      </top>
      <bottom style="thin">
        <color rgb="FF741B47"/>
      </bottom>
    </border>
    <border>
      <left style="thick">
        <color rgb="FFFF9900"/>
      </left>
      <top style="thick">
        <color rgb="FFFF9900"/>
      </top>
      <bottom style="thin">
        <color rgb="FFFF9900"/>
      </bottom>
    </border>
    <border>
      <top style="thick">
        <color rgb="FFFF9900"/>
      </top>
      <bottom style="thin">
        <color rgb="FFFF9900"/>
      </bottom>
    </border>
    <border>
      <right style="thick">
        <color rgb="FFFF9900"/>
      </right>
      <top style="thick">
        <color rgb="FFFF9900"/>
      </top>
      <bottom style="thin">
        <color rgb="FFFF9900"/>
      </bottom>
    </border>
    <border>
      <left style="thick">
        <color rgb="FF0B5394"/>
      </left>
      <top style="thick">
        <color rgb="FF0B5394"/>
      </top>
      <bottom style="thin">
        <color rgb="FF0B5394"/>
      </bottom>
    </border>
    <border>
      <top style="thick">
        <color rgb="FF0B5394"/>
      </top>
      <bottom style="thin">
        <color rgb="FF0B5394"/>
      </bottom>
    </border>
    <border>
      <right style="thick">
        <color rgb="FF0B5394"/>
      </right>
      <top style="thick">
        <color rgb="FF0B5394"/>
      </top>
      <bottom style="thin">
        <color rgb="FF0B5394"/>
      </bottom>
    </border>
    <border>
      <left style="thick">
        <color rgb="FF134F5C"/>
      </left>
      <top style="thin">
        <color rgb="FF0B5394"/>
      </top>
      <bottom style="thin">
        <color rgb="FF0B5394"/>
      </bottom>
    </border>
    <border>
      <right style="thin">
        <color rgb="FF0B5394"/>
      </right>
      <top style="thin">
        <color rgb="FF0B5394"/>
      </top>
      <bottom style="thin">
        <color rgb="FF0B5394"/>
      </bottom>
    </border>
    <border>
      <left style="thin">
        <color rgb="FF0B5394"/>
      </left>
      <top style="thin">
        <color rgb="FF0B5394"/>
      </top>
      <bottom style="thin">
        <color rgb="FF0B5394"/>
      </bottom>
    </border>
    <border>
      <right style="thick">
        <color rgb="FF134F5C"/>
      </right>
      <top style="thin">
        <color rgb="FF0B5394"/>
      </top>
      <bottom style="thin">
        <color rgb="FF0B5394"/>
      </bottom>
    </border>
    <border>
      <left style="thick">
        <color rgb="FF741B47"/>
      </left>
      <right style="thin">
        <color rgb="FF741B47"/>
      </right>
      <top style="thin">
        <color rgb="FF741B47"/>
      </top>
      <bottom style="thin">
        <color rgb="FF741B47"/>
      </bottom>
    </border>
    <border>
      <left style="thin">
        <color rgb="FF741B47"/>
      </left>
      <right style="thin">
        <color rgb="FF741B47"/>
      </right>
      <top style="thin">
        <color rgb="FF741B47"/>
      </top>
      <bottom style="thin">
        <color rgb="FF741B47"/>
      </bottom>
    </border>
    <border>
      <left style="thin">
        <color rgb="FF741B47"/>
      </left>
      <top style="thin">
        <color rgb="FF741B47"/>
      </top>
      <bottom style="thin">
        <color rgb="FF741B47"/>
      </bottom>
    </border>
    <border>
      <right style="thin">
        <color rgb="FF741B47"/>
      </right>
      <top style="thin">
        <color rgb="FF741B47"/>
      </top>
      <bottom style="thin">
        <color rgb="FF741B47"/>
      </bottom>
    </border>
    <border>
      <right style="thick">
        <color rgb="FF741B47"/>
      </right>
      <top style="thin">
        <color rgb="FF741B47"/>
      </top>
      <bottom style="thin">
        <color rgb="FF741B47"/>
      </bottom>
    </border>
    <border>
      <left style="thick">
        <color rgb="FFFF9900"/>
      </left>
      <right style="thin">
        <color rgb="FFFF9900"/>
      </right>
      <top style="thin">
        <color rgb="FFFF9900"/>
      </top>
      <bottom style="thin">
        <color rgb="FFFF9900"/>
      </bottom>
    </border>
    <border>
      <left style="thin">
        <color rgb="FFFF9900"/>
      </left>
      <right style="thin">
        <color rgb="FFFF9900"/>
      </right>
      <top style="thin">
        <color rgb="FFFF9900"/>
      </top>
      <bottom style="thin">
        <color rgb="FFFF9900"/>
      </bottom>
    </border>
    <border>
      <left style="thin">
        <color rgb="FFFF9900"/>
      </left>
      <top style="thin">
        <color rgb="FFFF9900"/>
      </top>
      <bottom style="thin">
        <color rgb="FFFF9900"/>
      </bottom>
    </border>
    <border>
      <right style="thin">
        <color rgb="FFFF9900"/>
      </right>
      <top style="thin">
        <color rgb="FFFF9900"/>
      </top>
      <bottom style="thin">
        <color rgb="FFFF9900"/>
      </bottom>
    </border>
    <border>
      <right style="thick">
        <color rgb="FFFF9900"/>
      </right>
      <top style="thin">
        <color rgb="FFFF9900"/>
      </top>
      <bottom style="thin">
        <color rgb="FFFF9900"/>
      </bottom>
    </border>
    <border>
      <left style="thick">
        <color rgb="FF0B5394"/>
      </left>
      <right style="thin">
        <color rgb="FF0B5394"/>
      </right>
      <top style="thin">
        <color rgb="FF0B5394"/>
      </top>
      <bottom style="thin">
        <color rgb="FF0B5394"/>
      </bottom>
    </border>
    <border>
      <left style="thin">
        <color rgb="FF0B5394"/>
      </left>
      <right style="thin">
        <color rgb="FF0B5394"/>
      </right>
      <top style="thin">
        <color rgb="FF0B5394"/>
      </top>
      <bottom style="thin">
        <color rgb="FF0B5394"/>
      </bottom>
    </border>
    <border>
      <right style="thick">
        <color rgb="FF0B5394"/>
      </right>
      <top style="thin">
        <color rgb="FF0B5394"/>
      </top>
      <bottom style="thin">
        <color rgb="FF0B5394"/>
      </bottom>
    </border>
    <border>
      <left style="thin">
        <color rgb="FF0B5394"/>
      </left>
      <right style="thick">
        <color rgb="FF134F5C"/>
      </right>
      <top style="thin">
        <color rgb="FF0B5394"/>
      </top>
      <bottom style="thin">
        <color rgb="FF0B5394"/>
      </bottom>
    </border>
    <border>
      <left style="thin">
        <color rgb="FF741B47"/>
      </left>
      <right style="thick">
        <color rgb="FF741B47"/>
      </right>
      <top style="thin">
        <color rgb="FF741B47"/>
      </top>
      <bottom style="thin">
        <color rgb="FF741B47"/>
      </bottom>
    </border>
    <border>
      <left style="thin">
        <color rgb="FFFF9900"/>
      </left>
      <right style="thick">
        <color rgb="FFFF9900"/>
      </right>
      <top style="thin">
        <color rgb="FFFF9900"/>
      </top>
      <bottom style="thin">
        <color rgb="FFFF9900"/>
      </bottom>
    </border>
    <border>
      <left style="thin">
        <color rgb="FF0B5394"/>
      </left>
      <right style="thick">
        <color rgb="FF0B5394"/>
      </right>
      <top style="thin">
        <color rgb="FF0B5394"/>
      </top>
      <bottom style="thin">
        <color rgb="FF0B5394"/>
      </bottom>
    </border>
    <border>
      <left style="thick">
        <color rgb="FF134F5C"/>
      </left>
      <top style="thin">
        <color rgb="FF0B5394"/>
      </top>
      <bottom style="thick">
        <color rgb="FF134F5C"/>
      </bottom>
    </border>
    <border>
      <right style="thin">
        <color rgb="FF0B5394"/>
      </right>
      <top style="thin">
        <color rgb="FF0B5394"/>
      </top>
      <bottom style="thick">
        <color rgb="FF134F5C"/>
      </bottom>
    </border>
    <border>
      <left style="thin">
        <color rgb="FF0B5394"/>
      </left>
      <right style="thin">
        <color rgb="FF0B5394"/>
      </right>
      <top style="thin">
        <color rgb="FF0B5394"/>
      </top>
      <bottom style="thick">
        <color rgb="FF134F5C"/>
      </bottom>
    </border>
    <border>
      <left style="thin">
        <color rgb="FF0B5394"/>
      </left>
      <right style="thick">
        <color rgb="FF134F5C"/>
      </right>
      <top style="thin">
        <color rgb="FF0B5394"/>
      </top>
      <bottom style="thick">
        <color rgb="FF134F5C"/>
      </bottom>
    </border>
    <border>
      <left style="thick">
        <color rgb="FF674EA7"/>
      </left>
      <top style="thick">
        <color rgb="FF674EA7"/>
      </top>
      <bottom style="thin">
        <color rgb="FF674EA7"/>
      </bottom>
    </border>
    <border>
      <top style="thick">
        <color rgb="FF674EA7"/>
      </top>
      <bottom style="thin">
        <color rgb="FF674EA7"/>
      </bottom>
    </border>
    <border>
      <right style="thick">
        <color rgb="FF674EA7"/>
      </right>
      <top style="thick">
        <color rgb="FF674EA7"/>
      </top>
      <bottom style="thin">
        <color rgb="FF674EA7"/>
      </bottom>
    </border>
    <border>
      <left style="thick">
        <color rgb="FF674EA7"/>
      </left>
      <top style="thin">
        <color rgb="FF674EA7"/>
      </top>
      <bottom style="thin">
        <color rgb="FF674EA7"/>
      </bottom>
    </border>
    <border>
      <right style="thin">
        <color rgb="FF674EA7"/>
      </right>
      <top style="thin">
        <color rgb="FF674EA7"/>
      </top>
      <bottom style="thin">
        <color rgb="FF674EA7"/>
      </bottom>
    </border>
    <border>
      <left style="thin">
        <color rgb="FF674EA7"/>
      </left>
      <top style="thin">
        <color rgb="FF674EA7"/>
      </top>
      <bottom style="thin">
        <color rgb="FF674EA7"/>
      </bottom>
    </border>
    <border>
      <right style="thick">
        <color rgb="FF674EA7"/>
      </right>
      <top style="thin">
        <color rgb="FF674EA7"/>
      </top>
      <bottom style="thin">
        <color rgb="FF674EA7"/>
      </bottom>
    </border>
    <border>
      <left style="thin">
        <color rgb="FF674EA7"/>
      </left>
      <right style="thin">
        <color rgb="FF674EA7"/>
      </right>
      <top style="thin">
        <color rgb="FF674EA7"/>
      </top>
      <bottom style="thin">
        <color rgb="FF674EA7"/>
      </bottom>
    </border>
    <border>
      <left style="thin">
        <color rgb="FF674EA7"/>
      </left>
      <right style="thick">
        <color rgb="FF674EA7"/>
      </right>
      <top style="thin">
        <color rgb="FF674EA7"/>
      </top>
      <bottom style="thin">
        <color rgb="FF674EA7"/>
      </bottom>
    </border>
    <border>
      <left style="thick">
        <color rgb="FF674EA7"/>
      </left>
      <top style="thin">
        <color rgb="FF674EA7"/>
      </top>
      <bottom style="thick">
        <color rgb="FF674EA7"/>
      </bottom>
    </border>
    <border>
      <right style="thin">
        <color rgb="FF674EA7"/>
      </right>
      <top style="thin">
        <color rgb="FF674EA7"/>
      </top>
      <bottom style="thick">
        <color rgb="FF674EA7"/>
      </bottom>
    </border>
    <border>
      <left style="thin">
        <color rgb="FF674EA7"/>
      </left>
      <right style="thin">
        <color rgb="FF674EA7"/>
      </right>
      <top style="thin">
        <color rgb="FF674EA7"/>
      </top>
      <bottom style="thick">
        <color rgb="FF674EA7"/>
      </bottom>
    </border>
    <border>
      <left style="thin">
        <color rgb="FF674EA7"/>
      </left>
      <right style="thick">
        <color rgb="FF674EA7"/>
      </right>
      <top style="thin">
        <color rgb="FF674EA7"/>
      </top>
      <bottom style="thick">
        <color rgb="FF674EA7"/>
      </bottom>
    </border>
    <border>
      <left style="thick">
        <color rgb="FF741B47"/>
      </left>
      <right style="thin">
        <color rgb="FF000000"/>
      </right>
      <bottom style="thick">
        <color rgb="FF741B47"/>
      </bottom>
    </border>
    <border>
      <left style="thin">
        <color rgb="FF000000"/>
      </left>
      <right style="thin">
        <color rgb="FF000000"/>
      </right>
      <bottom style="thick">
        <color rgb="FF741B47"/>
      </bottom>
    </border>
    <border>
      <left style="thin">
        <color rgb="FF000000"/>
      </left>
      <right style="thick">
        <color rgb="FF741B47"/>
      </right>
      <bottom style="thick">
        <color rgb="FF741B47"/>
      </bottom>
    </border>
    <border>
      <left style="thick">
        <color rgb="FFFF9900"/>
      </left>
      <right style="thin">
        <color rgb="FFFF9900"/>
      </right>
      <top style="thin">
        <color rgb="FFFF9900"/>
      </top>
      <bottom style="thick">
        <color rgb="FFFF9900"/>
      </bottom>
    </border>
    <border>
      <left style="thin">
        <color rgb="FFFF9900"/>
      </left>
      <right style="thin">
        <color rgb="FFFF9900"/>
      </right>
      <top style="thin">
        <color rgb="FFFF9900"/>
      </top>
      <bottom style="thick">
        <color rgb="FFFF9900"/>
      </bottom>
    </border>
    <border>
      <left style="thin">
        <color rgb="FFFF9900"/>
      </left>
      <right style="thick">
        <color rgb="FFFF9900"/>
      </right>
      <top style="thin">
        <color rgb="FFFF9900"/>
      </top>
      <bottom style="thick">
        <color rgb="FFFF9900"/>
      </bottom>
    </border>
    <border>
      <left style="thick">
        <color rgb="FF0B5394"/>
      </left>
      <right style="thin">
        <color rgb="FF0B5394"/>
      </right>
      <top style="thin">
        <color rgb="FF0B5394"/>
      </top>
      <bottom style="thick">
        <color rgb="FF0B5394"/>
      </bottom>
    </border>
    <border>
      <left style="thin">
        <color rgb="FF0B5394"/>
      </left>
      <right style="thin">
        <color rgb="FF0B5394"/>
      </right>
      <top style="thin">
        <color rgb="FF0B5394"/>
      </top>
      <bottom style="thick">
        <color rgb="FF0B5394"/>
      </bottom>
    </border>
    <border>
      <left style="thin">
        <color rgb="FF0B5394"/>
      </left>
      <right style="thick">
        <color rgb="FF0B5394"/>
      </right>
      <top style="thin">
        <color rgb="FF0B5394"/>
      </top>
      <bottom style="thick">
        <color rgb="FF0B5394"/>
      </bottom>
    </border>
    <border>
      <left style="thick">
        <color rgb="FF38761D"/>
      </left>
      <top style="thick">
        <color rgb="FF38761D"/>
      </top>
      <bottom style="thin">
        <color rgb="FF34A853"/>
      </bottom>
    </border>
    <border>
      <top style="thick">
        <color rgb="FF38761D"/>
      </top>
      <bottom style="thin">
        <color rgb="FF34A853"/>
      </bottom>
    </border>
    <border>
      <right style="thick">
        <color rgb="FF38761D"/>
      </right>
      <top style="thick">
        <color rgb="FF38761D"/>
      </top>
      <bottom style="thin">
        <color rgb="FF34A853"/>
      </bottom>
    </border>
    <border>
      <left style="thick">
        <color rgb="FF38761D"/>
      </left>
      <top style="thin">
        <color rgb="FF34A853"/>
      </top>
      <bottom style="thin">
        <color rgb="FF34A853"/>
      </bottom>
    </border>
    <border>
      <right style="thin">
        <color rgb="FF34A853"/>
      </right>
      <top style="thin">
        <color rgb="FF34A853"/>
      </top>
      <bottom style="thin">
        <color rgb="FF34A853"/>
      </bottom>
    </border>
    <border>
      <left style="thin">
        <color rgb="FF34A853"/>
      </left>
      <top style="thin">
        <color rgb="FF34A853"/>
      </top>
      <bottom style="thin">
        <color rgb="FF34A853"/>
      </bottom>
    </border>
    <border>
      <right style="thick">
        <color rgb="FF38761D"/>
      </right>
      <top style="thin">
        <color rgb="FF34A853"/>
      </top>
      <bottom style="thin">
        <color rgb="FF34A853"/>
      </bottom>
    </border>
    <border>
      <left style="thin">
        <color rgb="FF34A853"/>
      </left>
      <right style="thin">
        <color rgb="FF34A853"/>
      </right>
      <top style="thin">
        <color rgb="FF34A853"/>
      </top>
      <bottom style="thin">
        <color rgb="FF34A853"/>
      </bottom>
    </border>
    <border>
      <left style="thin">
        <color rgb="FF34A853"/>
      </left>
      <right style="thick">
        <color rgb="FF38761D"/>
      </right>
      <top style="thin">
        <color rgb="FF34A853"/>
      </top>
      <bottom style="thin">
        <color rgb="FF34A853"/>
      </bottom>
    </border>
    <border>
      <left style="thick">
        <color rgb="FF38761D"/>
      </left>
      <top style="thin">
        <color rgb="FF34A853"/>
      </top>
      <bottom style="thick">
        <color rgb="FF38761D"/>
      </bottom>
    </border>
    <border>
      <right style="thin">
        <color rgb="FF34A853"/>
      </right>
      <top style="thin">
        <color rgb="FF34A853"/>
      </top>
      <bottom style="thick">
        <color rgb="FF38761D"/>
      </bottom>
    </border>
    <border>
      <left style="thin">
        <color rgb="FF34A853"/>
      </left>
      <right style="thin">
        <color rgb="FF34A853"/>
      </right>
      <top style="thin">
        <color rgb="FF34A853"/>
      </top>
      <bottom style="thick">
        <color rgb="FF38761D"/>
      </bottom>
    </border>
    <border>
      <left style="thin">
        <color rgb="FF34A853"/>
      </left>
      <right style="thick">
        <color rgb="FF38761D"/>
      </right>
      <top style="thin">
        <color rgb="FF34A853"/>
      </top>
      <bottom style="thick">
        <color rgb="FF38761D"/>
      </bottom>
    </border>
    <border>
      <top style="thin">
        <color rgb="FF741B47"/>
      </top>
      <bottom style="thin">
        <color rgb="FF741B47"/>
      </bottom>
    </border>
    <border>
      <top style="thin">
        <color rgb="FFFF9900"/>
      </top>
      <bottom style="thin">
        <color rgb="FFFF9900"/>
      </bottom>
    </border>
    <border>
      <top style="thin">
        <color rgb="FF0B5394"/>
      </top>
      <bottom style="thin">
        <color rgb="FF0B5394"/>
      </bottom>
    </border>
    <border>
      <left style="thick">
        <color rgb="FFFF9900"/>
      </left>
      <right style="thin">
        <color rgb="FFFF9900"/>
      </right>
      <top style="thin">
        <color rgb="FFFF9900"/>
      </top>
    </border>
    <border>
      <left style="thin">
        <color rgb="FFFF9900"/>
      </left>
      <right style="thin">
        <color rgb="FFFF9900"/>
      </right>
      <top style="thin">
        <color rgb="FFFF9900"/>
      </top>
    </border>
    <border>
      <left style="thin">
        <color rgb="FFFF9900"/>
      </left>
      <top style="thin">
        <color rgb="FFFF9900"/>
      </top>
    </border>
    <border>
      <right style="thick">
        <color rgb="FFFF9900"/>
      </right>
      <top style="thin">
        <color rgb="FFFF9900"/>
      </top>
    </border>
    <border>
      <left style="thin">
        <color rgb="FFFF9900"/>
      </left>
      <top style="thin">
        <color rgb="FFFF9900"/>
      </top>
      <bottom style="thick">
        <color rgb="FFFF9900"/>
      </bottom>
    </border>
    <border>
      <right style="thick">
        <color rgb="FFFF9900"/>
      </right>
      <top style="thin">
        <color rgb="FFFF9900"/>
      </top>
      <bottom style="thick">
        <color rgb="FFFF9900"/>
      </bottom>
    </border>
    <border>
      <left style="thick">
        <color rgb="FF741B47"/>
      </left>
      <right style="thin">
        <color rgb="FF741B47"/>
      </right>
      <top style="thin">
        <color rgb="FF741B47"/>
      </top>
      <bottom style="thick">
        <color rgb="FF741B47"/>
      </bottom>
    </border>
    <border>
      <left style="thin">
        <color rgb="FF741B47"/>
      </left>
      <right style="thin">
        <color rgb="FF741B47"/>
      </right>
      <top style="thin">
        <color rgb="FF741B47"/>
      </top>
      <bottom style="thick">
        <color rgb="FF741B47"/>
      </bottom>
    </border>
    <border>
      <left style="thin">
        <color rgb="FF741B47"/>
      </left>
      <top style="thin">
        <color rgb="FF741B47"/>
      </top>
      <bottom style="thick">
        <color rgb="FF741B47"/>
      </bottom>
    </border>
    <border>
      <right style="thin">
        <color rgb="FF741B47"/>
      </right>
      <top style="thin">
        <color rgb="FF741B47"/>
      </top>
      <bottom style="thick">
        <color rgb="FF741B47"/>
      </bottom>
    </border>
    <border>
      <top style="thin">
        <color rgb="FF741B47"/>
      </top>
      <bottom style="thick">
        <color rgb="FF741B47"/>
      </bottom>
    </border>
    <border>
      <right style="thick">
        <color rgb="FF741B47"/>
      </right>
      <top style="thin">
        <color rgb="FF741B47"/>
      </top>
      <bottom style="thick">
        <color rgb="FF741B47"/>
      </bottom>
    </border>
    <border>
      <top style="thin">
        <color rgb="FFFF9900"/>
      </top>
      <bottom style="thick">
        <color rgb="FFFF9900"/>
      </bottom>
    </border>
    <border>
      <right style="thin">
        <color rgb="FFFF9900"/>
      </right>
      <top style="thin">
        <color rgb="FFFF9900"/>
      </top>
      <bottom style="thick">
        <color rgb="FFFF9900"/>
      </bottom>
    </border>
    <border>
      <left style="thin">
        <color rgb="FF0B5394"/>
      </left>
      <top style="thin">
        <color rgb="FF0B5394"/>
      </top>
      <bottom style="thick">
        <color rgb="FF0B5394"/>
      </bottom>
    </border>
    <border>
      <right style="thin">
        <color rgb="FF0B5394"/>
      </right>
      <top style="thin">
        <color rgb="FF0B5394"/>
      </top>
      <bottom style="thick">
        <color rgb="FF0B5394"/>
      </bottom>
    </border>
    <border>
      <top style="thin">
        <color rgb="FF0B5394"/>
      </top>
      <bottom style="thick">
        <color rgb="FF0B5394"/>
      </bottom>
    </border>
    <border>
      <right style="thick">
        <color rgb="FF0B5394"/>
      </right>
      <top style="thin">
        <color rgb="FF0B5394"/>
      </top>
      <bottom style="thick">
        <color rgb="FF0B5394"/>
      </bottom>
    </border>
  </borders>
  <cellStyleXfs count="1">
    <xf borderId="0" fillId="0" fontId="0" numFmtId="0" applyAlignment="1" applyFont="1"/>
  </cellStyleXfs>
  <cellXfs count="2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shrinkToFit="0" wrapText="1"/>
    </xf>
    <xf borderId="1" fillId="0" fontId="2" numFmtId="0" xfId="0" applyAlignment="1" applyBorder="1" applyFont="1">
      <alignment shrinkToFit="0" wrapText="1"/>
    </xf>
    <xf borderId="2" fillId="0" fontId="3" numFmtId="0" xfId="0" applyBorder="1" applyFont="1"/>
    <xf borderId="3" fillId="0" fontId="2" numFmtId="0" xfId="0" applyAlignment="1" applyBorder="1" applyFont="1">
      <alignment shrinkToFit="0" wrapText="1"/>
    </xf>
    <xf borderId="4" fillId="0" fontId="4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5" fillId="0" fontId="3" numFmtId="0" xfId="0" applyBorder="1" applyFont="1"/>
    <xf borderId="0" fillId="0" fontId="5" numFmtId="0" xfId="0" applyAlignment="1" applyFont="1">
      <alignment horizontal="center" readingOrder="0" shrinkToFit="0" wrapText="1"/>
    </xf>
    <xf borderId="0" fillId="0" fontId="6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0" fillId="0" fontId="2" numFmtId="0" xfId="0" applyAlignment="1" applyFont="1">
      <alignment horizontal="center" shrinkToFit="0" vertical="center" wrapText="1"/>
    </xf>
    <xf borderId="9" fillId="0" fontId="8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wrapText="1"/>
    </xf>
    <xf borderId="0" fillId="0" fontId="7" numFmtId="0" xfId="0" applyAlignment="1" applyFont="1">
      <alignment horizontal="center" readingOrder="0" shrinkToFit="0" wrapText="1"/>
    </xf>
    <xf borderId="10" fillId="2" fontId="9" numFmtId="0" xfId="0" applyAlignment="1" applyBorder="1" applyFill="1" applyFont="1">
      <alignment horizontal="center" readingOrder="0" shrinkToFit="0" vertical="center" wrapText="1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9" fillId="0" fontId="8" numFmtId="0" xfId="0" applyAlignment="1" applyBorder="1" applyFont="1">
      <alignment readingOrder="0" shrinkToFit="0" vertical="center" wrapText="1"/>
    </xf>
    <xf borderId="0" fillId="0" fontId="10" numFmtId="0" xfId="0" applyAlignment="1" applyFont="1">
      <alignment readingOrder="0" shrinkToFit="0" wrapText="1"/>
    </xf>
    <xf borderId="14" fillId="3" fontId="11" numFmtId="0" xfId="0" applyAlignment="1" applyBorder="1" applyFill="1" applyFont="1">
      <alignment horizontal="center" readingOrder="0" shrinkToFit="0" vertical="center" wrapText="1"/>
    </xf>
    <xf borderId="15" fillId="0" fontId="3" numFmtId="0" xfId="0" applyBorder="1" applyFont="1"/>
    <xf borderId="16" fillId="0" fontId="3" numFmtId="0" xfId="0" applyBorder="1" applyFont="1"/>
    <xf borderId="17" fillId="0" fontId="12" numFmtId="0" xfId="0" applyAlignment="1" applyBorder="1" applyFont="1">
      <alignment horizontal="center" readingOrder="0" shrinkToFit="0" vertical="center" wrapText="1"/>
    </xf>
    <xf borderId="0" fillId="0" fontId="2" numFmtId="164" xfId="0" applyAlignment="1" applyFont="1" applyNumberFormat="1">
      <alignment horizontal="center" shrinkToFit="0" vertical="center" wrapText="1"/>
    </xf>
    <xf borderId="18" fillId="0" fontId="13" numFmtId="0" xfId="0" applyAlignment="1" applyBorder="1" applyFont="1">
      <alignment horizontal="center" shrinkToFit="0" vertical="center" wrapText="1"/>
    </xf>
    <xf borderId="19" fillId="0" fontId="3" numFmtId="0" xfId="0" applyBorder="1" applyFont="1"/>
    <xf borderId="20" fillId="0" fontId="3" numFmtId="0" xfId="0" applyBorder="1" applyFont="1"/>
    <xf borderId="21" fillId="0" fontId="3" numFmtId="0" xfId="0" applyBorder="1" applyFont="1"/>
    <xf borderId="22" fillId="0" fontId="3" numFmtId="0" xfId="0" applyBorder="1" applyFont="1"/>
    <xf borderId="0" fillId="0" fontId="2" numFmtId="0" xfId="0" applyAlignment="1" applyFont="1">
      <alignment horizontal="center" shrinkToFit="0" vertical="center" wrapText="1"/>
    </xf>
    <xf borderId="17" fillId="0" fontId="14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23" fillId="3" fontId="11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12" numFmtId="0" xfId="0" applyAlignment="1" applyBorder="1" applyFont="1">
      <alignment horizontal="center" readingOrder="0" shrinkToFit="0" vertical="center" wrapText="1"/>
    </xf>
    <xf borderId="27" fillId="4" fontId="15" numFmtId="0" xfId="0" applyAlignment="1" applyBorder="1" applyFill="1" applyFont="1">
      <alignment horizontal="center" readingOrder="0" shrinkToFit="0" vertical="center" wrapText="1"/>
    </xf>
    <xf borderId="28" fillId="0" fontId="3" numFmtId="0" xfId="0" applyBorder="1" applyFont="1"/>
    <xf borderId="29" fillId="0" fontId="3" numFmtId="0" xfId="0" applyBorder="1" applyFont="1"/>
    <xf borderId="30" fillId="5" fontId="16" numFmtId="0" xfId="0" applyAlignment="1" applyBorder="1" applyFill="1" applyFont="1">
      <alignment horizontal="center" readingOrder="0" shrinkToFit="0" vertical="center" wrapText="1"/>
    </xf>
    <xf borderId="31" fillId="0" fontId="3" numFmtId="0" xfId="0" applyBorder="1" applyFont="1"/>
    <xf borderId="32" fillId="0" fontId="3" numFmtId="0" xfId="0" applyBorder="1" applyFont="1"/>
    <xf borderId="33" fillId="6" fontId="17" numFmtId="0" xfId="0" applyAlignment="1" applyBorder="1" applyFill="1" applyFont="1">
      <alignment horizontal="center" readingOrder="0" shrinkToFit="0" vertical="center" wrapText="1"/>
    </xf>
    <xf borderId="34" fillId="0" fontId="3" numFmtId="0" xfId="0" applyBorder="1" applyFont="1"/>
    <xf borderId="35" fillId="0" fontId="3" numFmtId="0" xfId="0" applyBorder="1" applyFont="1"/>
    <xf borderId="36" fillId="7" fontId="18" numFmtId="0" xfId="0" applyAlignment="1" applyBorder="1" applyFill="1" applyFont="1">
      <alignment horizontal="center" readingOrder="0" shrinkToFit="0" vertical="center" wrapText="1"/>
    </xf>
    <xf borderId="37" fillId="0" fontId="3" numFmtId="0" xfId="0" applyBorder="1" applyFont="1"/>
    <xf borderId="38" fillId="0" fontId="3" numFmtId="0" xfId="0" applyBorder="1" applyFont="1"/>
    <xf borderId="39" fillId="4" fontId="19" numFmtId="0" xfId="0" applyAlignment="1" applyBorder="1" applyFont="1">
      <alignment horizontal="center" readingOrder="0" shrinkToFit="0" vertical="center" wrapText="1"/>
    </xf>
    <xf borderId="40" fillId="0" fontId="3" numFmtId="0" xfId="0" applyBorder="1" applyFont="1"/>
    <xf borderId="41" fillId="4" fontId="19" numFmtId="0" xfId="0" applyAlignment="1" applyBorder="1" applyFont="1">
      <alignment horizontal="center" readingOrder="0" shrinkToFit="0" vertical="center" wrapText="1"/>
    </xf>
    <xf borderId="41" fillId="4" fontId="20" numFmtId="0" xfId="0" applyAlignment="1" applyBorder="1" applyFont="1">
      <alignment horizontal="center" readingOrder="0" shrinkToFit="0" vertical="center" wrapText="1"/>
    </xf>
    <xf borderId="42" fillId="0" fontId="3" numFmtId="0" xfId="0" applyBorder="1" applyFont="1"/>
    <xf borderId="43" fillId="8" fontId="21" numFmtId="0" xfId="0" applyAlignment="1" applyBorder="1" applyFill="1" applyFont="1">
      <alignment horizontal="center" readingOrder="0" shrinkToFit="0" vertical="center" wrapText="1"/>
    </xf>
    <xf borderId="44" fillId="8" fontId="21" numFmtId="0" xfId="0" applyAlignment="1" applyBorder="1" applyFont="1">
      <alignment horizontal="center" readingOrder="0" shrinkToFit="0" vertical="center" wrapText="1"/>
    </xf>
    <xf borderId="45" fillId="8" fontId="21" numFmtId="0" xfId="0" applyAlignment="1" applyBorder="1" applyFont="1">
      <alignment horizontal="center" readingOrder="0" shrinkToFit="0" vertical="center" wrapText="1"/>
    </xf>
    <xf borderId="46" fillId="0" fontId="3" numFmtId="0" xfId="0" applyBorder="1" applyFont="1"/>
    <xf borderId="47" fillId="0" fontId="3" numFmtId="0" xfId="0" applyBorder="1" applyFont="1"/>
    <xf borderId="48" fillId="9" fontId="22" numFmtId="0" xfId="0" applyAlignment="1" applyBorder="1" applyFill="1" applyFont="1">
      <alignment horizontal="center" readingOrder="0" shrinkToFit="0" vertical="center" wrapText="1"/>
    </xf>
    <xf borderId="49" fillId="9" fontId="22" numFmtId="0" xfId="0" applyAlignment="1" applyBorder="1" applyFont="1">
      <alignment horizontal="center" readingOrder="0" shrinkToFit="0" vertical="center" wrapText="1"/>
    </xf>
    <xf borderId="50" fillId="9" fontId="22" numFmtId="0" xfId="0" applyAlignment="1" applyBorder="1" applyFont="1">
      <alignment horizontal="center" readingOrder="0" shrinkToFit="0" vertical="center" wrapText="1"/>
    </xf>
    <xf borderId="51" fillId="0" fontId="3" numFmtId="0" xfId="0" applyBorder="1" applyFont="1"/>
    <xf borderId="52" fillId="0" fontId="3" numFmtId="0" xfId="0" applyBorder="1" applyFont="1"/>
    <xf borderId="53" fillId="10" fontId="23" numFmtId="0" xfId="0" applyAlignment="1" applyBorder="1" applyFill="1" applyFont="1">
      <alignment horizontal="center" readingOrder="0" shrinkToFit="0" vertical="center" wrapText="1"/>
    </xf>
    <xf borderId="54" fillId="10" fontId="23" numFmtId="0" xfId="0" applyAlignment="1" applyBorder="1" applyFont="1">
      <alignment horizontal="center" readingOrder="0" shrinkToFit="0" vertical="center" wrapText="1"/>
    </xf>
    <xf borderId="41" fillId="10" fontId="23" numFmtId="0" xfId="0" applyAlignment="1" applyBorder="1" applyFont="1">
      <alignment horizontal="center" readingOrder="0" shrinkToFit="0" vertical="center" wrapText="1"/>
    </xf>
    <xf borderId="55" fillId="0" fontId="3" numFmtId="0" xfId="0" applyBorder="1" applyFont="1"/>
    <xf borderId="39" fillId="0" fontId="24" numFmtId="0" xfId="0" applyAlignment="1" applyBorder="1" applyFont="1">
      <alignment readingOrder="0" shrinkToFit="0" vertical="center" wrapText="1"/>
    </xf>
    <xf borderId="54" fillId="0" fontId="25" numFmtId="165" xfId="0" applyAlignment="1" applyBorder="1" applyFont="1" applyNumberFormat="1">
      <alignment horizontal="center" readingOrder="0" shrinkToFit="0" vertical="center" wrapText="1"/>
    </xf>
    <xf borderId="54" fillId="0" fontId="24" numFmtId="0" xfId="0" applyAlignment="1" applyBorder="1" applyFont="1">
      <alignment horizontal="center" readingOrder="0" shrinkToFit="0" vertical="center" wrapText="1"/>
    </xf>
    <xf borderId="56" fillId="0" fontId="24" numFmtId="0" xfId="0" applyAlignment="1" applyBorder="1" applyFont="1">
      <alignment horizontal="center" readingOrder="0" shrinkToFit="0" vertical="center" wrapText="1"/>
    </xf>
    <xf borderId="43" fillId="0" fontId="26" numFmtId="0" xfId="0" applyAlignment="1" applyBorder="1" applyFont="1">
      <alignment horizontal="center" readingOrder="0" shrinkToFit="0" vertical="center" wrapText="1"/>
    </xf>
    <xf borderId="44" fillId="0" fontId="27" numFmtId="0" xfId="0" applyAlignment="1" applyBorder="1" applyFont="1">
      <alignment readingOrder="0" shrinkToFit="0" vertical="center" wrapText="1"/>
    </xf>
    <xf borderId="44" fillId="0" fontId="27" numFmtId="0" xfId="0" applyAlignment="1" applyBorder="1" applyFont="1">
      <alignment horizontal="center" readingOrder="0" shrinkToFit="0" vertical="center" wrapText="1"/>
    </xf>
    <xf borderId="44" fillId="8" fontId="27" numFmtId="0" xfId="0" applyAlignment="1" applyBorder="1" applyFont="1">
      <alignment horizontal="center" readingOrder="0" shrinkToFit="0" vertical="center" wrapText="1"/>
    </xf>
    <xf borderId="57" fillId="8" fontId="27" numFmtId="0" xfId="0" applyAlignment="1" applyBorder="1" applyFont="1">
      <alignment horizontal="center" readingOrder="0" shrinkToFit="0" vertical="center" wrapText="1"/>
    </xf>
    <xf borderId="48" fillId="0" fontId="28" numFmtId="0" xfId="0" applyAlignment="1" applyBorder="1" applyFont="1">
      <alignment horizontal="center" readingOrder="0" shrinkToFit="0" vertical="center" wrapText="1"/>
    </xf>
    <xf borderId="49" fillId="0" fontId="29" numFmtId="0" xfId="0" applyAlignment="1" applyBorder="1" applyFont="1">
      <alignment horizontal="center" readingOrder="0" shrinkToFit="0" vertical="center" wrapText="1"/>
    </xf>
    <xf borderId="49" fillId="9" fontId="29" numFmtId="0" xfId="0" applyAlignment="1" applyBorder="1" applyFont="1">
      <alignment horizontal="center" shrinkToFit="0" vertical="center" wrapText="1"/>
    </xf>
    <xf borderId="58" fillId="9" fontId="29" numFmtId="0" xfId="0" applyAlignment="1" applyBorder="1" applyFont="1">
      <alignment horizontal="center" shrinkToFit="0" vertical="center" wrapText="1"/>
    </xf>
    <xf borderId="53" fillId="0" fontId="30" numFmtId="0" xfId="0" applyAlignment="1" applyBorder="1" applyFont="1">
      <alignment horizontal="center" readingOrder="0" shrinkToFit="0" vertical="center" wrapText="1"/>
    </xf>
    <xf borderId="54" fillId="0" fontId="31" numFmtId="0" xfId="0" applyAlignment="1" applyBorder="1" applyFont="1">
      <alignment horizontal="left" readingOrder="0" shrinkToFit="0" vertical="center" wrapText="1"/>
    </xf>
    <xf borderId="54" fillId="0" fontId="31" numFmtId="0" xfId="0" applyAlignment="1" applyBorder="1" applyFont="1">
      <alignment horizontal="center" readingOrder="0" shrinkToFit="0" vertical="center" wrapText="1"/>
    </xf>
    <xf borderId="54" fillId="10" fontId="31" numFmtId="0" xfId="0" applyAlignment="1" applyBorder="1" applyFont="1">
      <alignment horizontal="center" readingOrder="0" shrinkToFit="0" vertical="center" wrapText="1"/>
    </xf>
    <xf borderId="59" fillId="10" fontId="31" numFmtId="0" xfId="0" applyAlignment="1" applyBorder="1" applyFont="1">
      <alignment horizontal="center" readingOrder="0" shrinkToFit="0" vertical="center" wrapText="1"/>
    </xf>
    <xf borderId="0" fillId="0" fontId="8" numFmtId="10" xfId="0" applyAlignment="1" applyFont="1" applyNumberFormat="1">
      <alignment horizontal="center" shrinkToFit="0" vertical="center" wrapText="1"/>
    </xf>
    <xf borderId="54" fillId="0" fontId="30" numFmtId="0" xfId="0" applyAlignment="1" applyBorder="1" applyFont="1">
      <alignment horizontal="center" shrinkToFit="0" vertical="center" wrapText="1"/>
    </xf>
    <xf borderId="54" fillId="10" fontId="30" numFmtId="0" xfId="0" applyAlignment="1" applyBorder="1" applyFont="1">
      <alignment horizontal="center" shrinkToFit="0" vertical="center" wrapText="1"/>
    </xf>
    <xf borderId="59" fillId="10" fontId="30" numFmtId="0" xfId="0" applyAlignment="1" applyBorder="1" applyFont="1">
      <alignment horizontal="center" shrinkToFit="0" vertical="center" wrapText="1"/>
    </xf>
    <xf borderId="43" fillId="0" fontId="32" numFmtId="0" xfId="0" applyAlignment="1" applyBorder="1" applyFont="1">
      <alignment horizontal="center" readingOrder="0" shrinkToFit="0" vertical="center" wrapText="1"/>
    </xf>
    <xf borderId="60" fillId="0" fontId="24" numFmtId="0" xfId="0" applyAlignment="1" applyBorder="1" applyFont="1">
      <alignment readingOrder="0" shrinkToFit="0" vertical="center" wrapText="1"/>
    </xf>
    <xf borderId="61" fillId="0" fontId="3" numFmtId="0" xfId="0" applyBorder="1" applyFont="1"/>
    <xf borderId="62" fillId="0" fontId="25" numFmtId="165" xfId="0" applyAlignment="1" applyBorder="1" applyFont="1" applyNumberFormat="1">
      <alignment horizontal="center" readingOrder="0" shrinkToFit="0" vertical="center" wrapText="1"/>
    </xf>
    <xf borderId="62" fillId="0" fontId="24" numFmtId="0" xfId="0" applyAlignment="1" applyBorder="1" applyFont="1">
      <alignment horizontal="center" readingOrder="0" shrinkToFit="0" vertical="center" wrapText="1"/>
    </xf>
    <xf borderId="63" fillId="0" fontId="24" numFmtId="0" xfId="0" applyAlignment="1" applyBorder="1" applyFont="1">
      <alignment horizontal="center" readingOrder="0" shrinkToFit="0" vertical="center" wrapText="1"/>
    </xf>
    <xf borderId="44" fillId="0" fontId="26" numFmtId="0" xfId="0" applyAlignment="1" applyBorder="1" applyFont="1">
      <alignment horizontal="center" shrinkToFit="0" vertical="center" wrapText="1"/>
    </xf>
    <xf borderId="44" fillId="8" fontId="26" numFmtId="0" xfId="0" applyAlignment="1" applyBorder="1" applyFont="1">
      <alignment horizontal="center" shrinkToFit="0" vertical="center" wrapText="1"/>
    </xf>
    <xf borderId="57" fillId="8" fontId="26" numFmtId="0" xfId="0" applyAlignment="1" applyBorder="1" applyFont="1">
      <alignment horizontal="center" shrinkToFit="0" vertical="center" wrapText="1"/>
    </xf>
    <xf borderId="49" fillId="0" fontId="33" numFmtId="0" xfId="0" applyAlignment="1" applyBorder="1" applyFont="1">
      <alignment horizontal="center" readingOrder="0" shrinkToFit="0" vertical="center" wrapText="1"/>
    </xf>
    <xf borderId="64" fillId="11" fontId="34" numFmtId="0" xfId="0" applyAlignment="1" applyBorder="1" applyFill="1" applyFont="1">
      <alignment horizontal="center" readingOrder="0" shrinkToFit="0" vertical="center" wrapText="1"/>
    </xf>
    <xf borderId="65" fillId="0" fontId="3" numFmtId="0" xfId="0" applyBorder="1" applyFont="1"/>
    <xf borderId="66" fillId="0" fontId="3" numFmtId="0" xfId="0" applyBorder="1" applyFont="1"/>
    <xf borderId="49" fillId="0" fontId="28" numFmtId="0" xfId="0" applyAlignment="1" applyBorder="1" applyFont="1">
      <alignment horizontal="center" readingOrder="0" shrinkToFit="0" vertical="center" wrapText="1"/>
    </xf>
    <xf borderId="49" fillId="9" fontId="28" numFmtId="0" xfId="0" applyAlignment="1" applyBorder="1" applyFont="1">
      <alignment horizontal="center" shrinkToFit="0" vertical="center" wrapText="1"/>
    </xf>
    <xf borderId="58" fillId="9" fontId="28" numFmtId="0" xfId="0" applyAlignment="1" applyBorder="1" applyFont="1">
      <alignment horizontal="center" shrinkToFit="0" vertical="center" wrapText="1"/>
    </xf>
    <xf borderId="67" fillId="12" fontId="35" numFmtId="0" xfId="0" applyAlignment="1" applyBorder="1" applyFill="1" applyFont="1">
      <alignment horizontal="center" readingOrder="0" shrinkToFit="0" vertical="center" wrapText="1"/>
    </xf>
    <xf borderId="68" fillId="0" fontId="3" numFmtId="0" xfId="0" applyBorder="1" applyFont="1"/>
    <xf borderId="69" fillId="12" fontId="35" numFmtId="0" xfId="0" applyAlignment="1" applyBorder="1" applyFont="1">
      <alignment horizontal="center" readingOrder="0" shrinkToFit="0" vertical="center" wrapText="1"/>
    </xf>
    <xf borderId="70" fillId="0" fontId="3" numFmtId="0" xfId="0" applyBorder="1" applyFont="1"/>
    <xf borderId="67" fillId="0" fontId="36" numFmtId="0" xfId="0" applyAlignment="1" applyBorder="1" applyFont="1">
      <alignment horizontal="left" readingOrder="0" shrinkToFit="0" vertical="center" wrapText="1"/>
    </xf>
    <xf borderId="71" fillId="0" fontId="36" numFmtId="0" xfId="0" applyAlignment="1" applyBorder="1" applyFont="1">
      <alignment horizontal="center" readingOrder="0" shrinkToFit="0" vertical="center" wrapText="1"/>
    </xf>
    <xf borderId="72" fillId="0" fontId="36" numFmtId="0" xfId="0" applyAlignment="1" applyBorder="1" applyFont="1">
      <alignment horizontal="center" readingOrder="0" shrinkToFit="0" vertical="center" wrapText="1"/>
    </xf>
    <xf borderId="49" fillId="0" fontId="28" numFmtId="0" xfId="0" applyAlignment="1" applyBorder="1" applyFont="1">
      <alignment horizontal="center" shrinkToFit="0" vertical="center" wrapText="1"/>
    </xf>
    <xf borderId="44" fillId="0" fontId="37" numFmtId="0" xfId="0" applyAlignment="1" applyBorder="1" applyFont="1">
      <alignment horizontal="center" readingOrder="0" shrinkToFit="0" vertical="center" wrapText="1"/>
    </xf>
    <xf borderId="44" fillId="8" fontId="37" numFmtId="0" xfId="0" applyAlignment="1" applyBorder="1" applyFont="1">
      <alignment horizontal="center" readingOrder="0" shrinkToFit="0" vertical="center" wrapText="1"/>
    </xf>
    <xf borderId="57" fillId="8" fontId="37" numFmtId="0" xfId="0" applyAlignment="1" applyBorder="1" applyFont="1">
      <alignment horizontal="center" readingOrder="0" shrinkToFit="0" vertical="center" wrapText="1"/>
    </xf>
    <xf borderId="73" fillId="0" fontId="36" numFmtId="0" xfId="0" applyAlignment="1" applyBorder="1" applyFont="1">
      <alignment horizontal="left" readingOrder="0" shrinkToFit="0" vertical="center" wrapText="1"/>
    </xf>
    <xf borderId="74" fillId="0" fontId="3" numFmtId="0" xfId="0" applyBorder="1" applyFont="1"/>
    <xf borderId="75" fillId="0" fontId="36" numFmtId="0" xfId="0" applyAlignment="1" applyBorder="1" applyFont="1">
      <alignment horizontal="center" readingOrder="0" shrinkToFit="0" vertical="center" wrapText="1"/>
    </xf>
    <xf borderId="76" fillId="0" fontId="36" numFmtId="0" xfId="0" applyAlignment="1" applyBorder="1" applyFont="1">
      <alignment horizontal="center" readingOrder="0" shrinkToFit="0" vertical="center" wrapText="1"/>
    </xf>
    <xf borderId="77" fillId="0" fontId="26" numFmtId="0" xfId="0" applyAlignment="1" applyBorder="1" applyFont="1">
      <alignment horizontal="center" readingOrder="0" shrinkToFit="0" vertical="center" wrapText="1"/>
    </xf>
    <xf borderId="78" fillId="0" fontId="37" numFmtId="0" xfId="0" applyAlignment="1" applyBorder="1" applyFont="1">
      <alignment horizontal="center" readingOrder="0" shrinkToFit="0" vertical="center" wrapText="1"/>
    </xf>
    <xf borderId="78" fillId="8" fontId="37" numFmtId="0" xfId="0" applyAlignment="1" applyBorder="1" applyFont="1">
      <alignment horizontal="center" readingOrder="0" shrinkToFit="0" vertical="center" wrapText="1"/>
    </xf>
    <xf borderId="79" fillId="8" fontId="37" numFmtId="0" xfId="0" applyAlignment="1" applyBorder="1" applyFont="1">
      <alignment horizontal="center" readingOrder="0" shrinkToFit="0" vertical="center" wrapText="1"/>
    </xf>
    <xf borderId="80" fillId="0" fontId="28" numFmtId="0" xfId="0" applyAlignment="1" applyBorder="1" applyFont="1">
      <alignment horizontal="center" readingOrder="0" shrinkToFit="0" vertical="center" wrapText="1"/>
    </xf>
    <xf borderId="81" fillId="0" fontId="28" numFmtId="0" xfId="0" applyAlignment="1" applyBorder="1" applyFont="1">
      <alignment horizontal="center" shrinkToFit="0" vertical="center" wrapText="1"/>
    </xf>
    <xf borderId="81" fillId="9" fontId="28" numFmtId="0" xfId="0" applyAlignment="1" applyBorder="1" applyFont="1">
      <alignment horizontal="center" shrinkToFit="0" vertical="center" wrapText="1"/>
    </xf>
    <xf borderId="82" fillId="9" fontId="28" numFmtId="0" xfId="0" applyAlignment="1" applyBorder="1" applyFont="1">
      <alignment horizontal="center" shrinkToFit="0" vertical="center" wrapText="1"/>
    </xf>
    <xf borderId="83" fillId="0" fontId="30" numFmtId="0" xfId="0" applyAlignment="1" applyBorder="1" applyFont="1">
      <alignment horizontal="center" readingOrder="0" shrinkToFit="0" vertical="center" wrapText="1"/>
    </xf>
    <xf borderId="84" fillId="0" fontId="30" numFmtId="0" xfId="0" applyAlignment="1" applyBorder="1" applyFont="1">
      <alignment horizontal="center" shrinkToFit="0" vertical="center" wrapText="1"/>
    </xf>
    <xf borderId="84" fillId="10" fontId="30" numFmtId="0" xfId="0" applyAlignment="1" applyBorder="1" applyFont="1">
      <alignment horizontal="center" shrinkToFit="0" vertical="center" wrapText="1"/>
    </xf>
    <xf borderId="85" fillId="10" fontId="30" numFmtId="0" xfId="0" applyAlignment="1" applyBorder="1" applyFont="1">
      <alignment horizontal="center" shrinkToFit="0" vertical="center" wrapText="1"/>
    </xf>
    <xf borderId="0" fillId="3" fontId="38" numFmtId="0" xfId="0" applyAlignment="1" applyFont="1">
      <alignment horizontal="center" readingOrder="0" shrinkToFit="0" vertical="center" wrapText="1"/>
    </xf>
    <xf borderId="0" fillId="3" fontId="38" numFmtId="0" xfId="0" applyAlignment="1" applyFont="1">
      <alignment horizontal="center" shrinkToFit="0" vertical="center" wrapText="1"/>
    </xf>
    <xf borderId="0" fillId="0" fontId="38" numFmtId="0" xfId="0" applyAlignment="1" applyFont="1">
      <alignment horizontal="center" readingOrder="0" shrinkToFit="0" vertical="center" wrapText="1"/>
    </xf>
    <xf borderId="0" fillId="0" fontId="38" numFmtId="0" xfId="0" applyAlignment="1" applyFont="1">
      <alignment horizontal="center" shrinkToFit="0" vertical="center" wrapText="1"/>
    </xf>
    <xf borderId="86" fillId="13" fontId="39" numFmtId="0" xfId="0" applyAlignment="1" applyBorder="1" applyFill="1" applyFont="1">
      <alignment horizontal="center" readingOrder="0" shrinkToFit="0" vertical="center" wrapText="1"/>
    </xf>
    <xf borderId="87" fillId="0" fontId="3" numFmtId="0" xfId="0" applyBorder="1" applyFont="1"/>
    <xf borderId="88" fillId="0" fontId="3" numFmtId="0" xfId="0" applyBorder="1" applyFont="1"/>
    <xf borderId="89" fillId="14" fontId="40" numFmtId="0" xfId="0" applyAlignment="1" applyBorder="1" applyFill="1" applyFont="1">
      <alignment horizontal="center" readingOrder="0" shrinkToFit="0" vertical="center" wrapText="1"/>
    </xf>
    <xf borderId="90" fillId="0" fontId="3" numFmtId="0" xfId="0" applyBorder="1" applyFont="1"/>
    <xf borderId="91" fillId="14" fontId="40" numFmtId="0" xfId="0" applyAlignment="1" applyBorder="1" applyFont="1">
      <alignment horizontal="center" readingOrder="0" shrinkToFit="0" vertical="center" wrapText="1"/>
    </xf>
    <xf borderId="92" fillId="0" fontId="3" numFmtId="0" xfId="0" applyBorder="1" applyFont="1"/>
    <xf borderId="89" fillId="0" fontId="41" numFmtId="0" xfId="0" applyAlignment="1" applyBorder="1" applyFont="1">
      <alignment horizontal="left" readingOrder="0" shrinkToFit="0" vertical="center" wrapText="1"/>
    </xf>
    <xf borderId="93" fillId="0" fontId="41" numFmtId="0" xfId="0" applyAlignment="1" applyBorder="1" applyFont="1">
      <alignment horizontal="center" readingOrder="0" shrinkToFit="0" vertical="center" wrapText="1"/>
    </xf>
    <xf borderId="94" fillId="0" fontId="41" numFmtId="0" xfId="0" applyAlignment="1" applyBorder="1" applyFont="1">
      <alignment horizontal="center" readingOrder="0" shrinkToFit="0" vertical="center" wrapText="1"/>
    </xf>
    <xf borderId="95" fillId="0" fontId="41" numFmtId="0" xfId="0" applyAlignment="1" applyBorder="1" applyFont="1">
      <alignment horizontal="left" readingOrder="0" shrinkToFit="0" vertical="center" wrapText="1"/>
    </xf>
    <xf borderId="96" fillId="0" fontId="3" numFmtId="0" xfId="0" applyBorder="1" applyFont="1"/>
    <xf borderId="97" fillId="0" fontId="41" numFmtId="0" xfId="0" applyAlignment="1" applyBorder="1" applyFont="1">
      <alignment horizontal="center" readingOrder="0" shrinkToFit="0" vertical="center" wrapText="1"/>
    </xf>
    <xf borderId="98" fillId="0" fontId="41" numFmtId="0" xfId="0" applyAlignment="1" applyBorder="1" applyFont="1">
      <alignment horizontal="center" readingOrder="0" shrinkToFit="0" vertical="center" wrapText="1"/>
    </xf>
    <xf borderId="33" fillId="6" fontId="42" numFmtId="0" xfId="0" applyAlignment="1" applyBorder="1" applyFont="1">
      <alignment horizontal="center" readingOrder="0" shrinkToFit="0" vertical="center" wrapText="1"/>
    </xf>
    <xf borderId="0" fillId="3" fontId="43" numFmtId="0" xfId="0" applyAlignment="1" applyFont="1">
      <alignment horizontal="center" readingOrder="0" shrinkToFit="0" vertical="center" wrapText="1"/>
    </xf>
    <xf borderId="30" fillId="5" fontId="44" numFmtId="0" xfId="0" applyAlignment="1" applyBorder="1" applyFont="1">
      <alignment horizontal="center" readingOrder="0" shrinkToFit="0" vertical="center" wrapText="1"/>
    </xf>
    <xf borderId="36" fillId="7" fontId="45" numFmtId="0" xfId="0" applyAlignment="1" applyBorder="1" applyFont="1">
      <alignment horizontal="center" readingOrder="0" shrinkToFit="0" vertical="center" wrapText="1"/>
    </xf>
    <xf borderId="48" fillId="15" fontId="22" numFmtId="0" xfId="0" applyAlignment="1" applyBorder="1" applyFill="1" applyFont="1">
      <alignment horizontal="center" readingOrder="0" shrinkToFit="0" vertical="center" wrapText="1"/>
    </xf>
    <xf borderId="50" fillId="15" fontId="22" numFmtId="0" xfId="0" applyAlignment="1" applyBorder="1" applyFont="1">
      <alignment horizontal="center" readingOrder="0" shrinkToFit="0" vertical="center" wrapText="1"/>
    </xf>
    <xf borderId="49" fillId="15" fontId="22" numFmtId="0" xfId="0" applyAlignment="1" applyBorder="1" applyFont="1">
      <alignment horizontal="center" readingOrder="0" shrinkToFit="0" vertical="center" wrapText="1"/>
    </xf>
    <xf borderId="0" fillId="3" fontId="4" numFmtId="0" xfId="0" applyAlignment="1" applyFont="1">
      <alignment horizontal="center" readingOrder="0" shrinkToFit="0" vertical="center" wrapText="1"/>
    </xf>
    <xf borderId="43" fillId="8" fontId="46" numFmtId="0" xfId="0" applyAlignment="1" applyBorder="1" applyFont="1">
      <alignment horizontal="center" readingOrder="0" shrinkToFit="0" vertical="center" wrapText="1"/>
    </xf>
    <xf borderId="45" fillId="8" fontId="46" numFmtId="0" xfId="0" applyAlignment="1" applyBorder="1" applyFont="1">
      <alignment horizontal="center" readingOrder="0" shrinkToFit="0" vertical="center" wrapText="1"/>
    </xf>
    <xf borderId="99" fillId="0" fontId="3" numFmtId="0" xfId="0" applyBorder="1" applyFont="1"/>
    <xf borderId="48" fillId="15" fontId="47" numFmtId="0" xfId="0" applyAlignment="1" applyBorder="1" applyFont="1">
      <alignment horizontal="center" readingOrder="0" shrinkToFit="0" vertical="center" wrapText="1"/>
    </xf>
    <xf borderId="50" fillId="15" fontId="47" numFmtId="0" xfId="0" applyAlignment="1" applyBorder="1" applyFont="1">
      <alignment horizontal="center" readingOrder="0" shrinkToFit="0" vertical="center" wrapText="1"/>
    </xf>
    <xf borderId="100" fillId="0" fontId="3" numFmtId="0" xfId="0" applyBorder="1" applyFont="1"/>
    <xf borderId="53" fillId="10" fontId="48" numFmtId="0" xfId="0" applyAlignment="1" applyBorder="1" applyFont="1">
      <alignment horizontal="center" readingOrder="0" shrinkToFit="0" vertical="center" wrapText="1"/>
    </xf>
    <xf borderId="41" fillId="10" fontId="48" numFmtId="0" xfId="0" applyAlignment="1" applyBorder="1" applyFont="1">
      <alignment horizontal="center" readingOrder="0" shrinkToFit="0" vertical="center" wrapText="1"/>
    </xf>
    <xf borderId="101" fillId="0" fontId="3" numFmtId="0" xfId="0" applyBorder="1" applyFont="1"/>
    <xf borderId="48" fillId="0" fontId="29" numFmtId="166" xfId="0" applyAlignment="1" applyBorder="1" applyFont="1" applyNumberFormat="1">
      <alignment horizontal="center" readingOrder="0" shrinkToFit="0" vertical="center" wrapText="1"/>
    </xf>
    <xf borderId="50" fillId="0" fontId="29" numFmtId="0" xfId="0" applyAlignment="1" applyBorder="1" applyFont="1">
      <alignment horizontal="center" readingOrder="0" shrinkToFit="0" vertical="center" wrapText="1"/>
    </xf>
    <xf borderId="43" fillId="0" fontId="49" numFmtId="0" xfId="0" applyAlignment="1" applyBorder="1" applyFont="1">
      <alignment readingOrder="0" shrinkToFit="0" vertical="center" wrapText="1"/>
    </xf>
    <xf borderId="44" fillId="3" fontId="49" numFmtId="0" xfId="0" applyAlignment="1" applyBorder="1" applyFont="1">
      <alignment horizontal="center" readingOrder="0" shrinkToFit="0" vertical="center" wrapText="1"/>
    </xf>
    <xf borderId="45" fillId="3" fontId="49" numFmtId="0" xfId="0" applyAlignment="1" applyBorder="1" applyFont="1">
      <alignment horizontal="center" readingOrder="0" shrinkToFit="0" vertical="center" wrapText="1"/>
    </xf>
    <xf borderId="45" fillId="0" fontId="49" numFmtId="10" xfId="0" applyAlignment="1" applyBorder="1" applyFont="1" applyNumberFormat="1">
      <alignment horizontal="center" shrinkToFit="0" vertical="center" wrapText="1"/>
    </xf>
    <xf borderId="48" fillId="0" fontId="29" numFmtId="0" xfId="0" applyAlignment="1" applyBorder="1" applyFont="1">
      <alignment horizontal="left" readingOrder="0" shrinkToFit="0" vertical="center" wrapText="1"/>
    </xf>
    <xf borderId="49" fillId="3" fontId="29" numFmtId="0" xfId="0" applyAlignment="1" applyBorder="1" applyFont="1">
      <alignment horizontal="center" readingOrder="0" shrinkToFit="0" vertical="center" wrapText="1"/>
    </xf>
    <xf borderId="50" fillId="3" fontId="29" numFmtId="0" xfId="0" applyAlignment="1" applyBorder="1" applyFont="1">
      <alignment horizontal="center" readingOrder="0" shrinkToFit="0" vertical="center" wrapText="1"/>
    </xf>
    <xf borderId="50" fillId="0" fontId="29" numFmtId="10" xfId="0" applyAlignment="1" applyBorder="1" applyFont="1" applyNumberFormat="1">
      <alignment horizontal="center" shrinkToFit="0" vertical="center" wrapText="1"/>
    </xf>
    <xf borderId="53" fillId="0" fontId="50" numFmtId="0" xfId="0" applyAlignment="1" applyBorder="1" applyFont="1">
      <alignment horizontal="left" readingOrder="0" shrinkToFit="0" vertical="center" wrapText="1"/>
    </xf>
    <xf borderId="54" fillId="3" fontId="50" numFmtId="0" xfId="0" applyAlignment="1" applyBorder="1" applyFont="1">
      <alignment horizontal="center" readingOrder="0" shrinkToFit="0" vertical="center" wrapText="1"/>
    </xf>
    <xf borderId="41" fillId="3" fontId="50" numFmtId="0" xfId="0" applyAlignment="1" applyBorder="1" applyFont="1">
      <alignment horizontal="center" readingOrder="0" shrinkToFit="0" vertical="center" wrapText="1"/>
    </xf>
    <xf borderId="41" fillId="0" fontId="50" numFmtId="10" xfId="0" applyAlignment="1" applyBorder="1" applyFont="1" applyNumberFormat="1">
      <alignment horizontal="center" shrinkToFit="0" vertical="center" wrapText="1"/>
    </xf>
    <xf borderId="50" fillId="0" fontId="33" numFmtId="0" xfId="0" applyAlignment="1" applyBorder="1" applyFont="1">
      <alignment horizontal="center" readingOrder="0" shrinkToFit="0" vertical="center" wrapText="1"/>
    </xf>
    <xf borderId="53" fillId="0" fontId="51" numFmtId="0" xfId="0" applyAlignment="1" applyBorder="1" applyFont="1">
      <alignment horizontal="left" readingOrder="0" shrinkToFit="0" vertical="center" wrapText="1"/>
    </xf>
    <xf borderId="54" fillId="16" fontId="52" numFmtId="0" xfId="0" applyAlignment="1" applyBorder="1" applyFill="1" applyFont="1">
      <alignment horizontal="center" readingOrder="0" shrinkToFit="0" vertical="center" wrapText="1"/>
    </xf>
    <xf borderId="41" fillId="3" fontId="51" numFmtId="0" xfId="0" applyAlignment="1" applyBorder="1" applyFont="1">
      <alignment horizontal="center" readingOrder="0" shrinkToFit="0" vertical="center" wrapText="1"/>
    </xf>
    <xf borderId="41" fillId="0" fontId="51" numFmtId="10" xfId="0" applyAlignment="1" applyBorder="1" applyFont="1" applyNumberFormat="1">
      <alignment horizontal="center" shrinkToFit="0" vertical="center" wrapText="1"/>
    </xf>
    <xf borderId="102" fillId="0" fontId="29" numFmtId="166" xfId="0" applyAlignment="1" applyBorder="1" applyFont="1" applyNumberFormat="1">
      <alignment horizontal="center" readingOrder="0" shrinkToFit="0" vertical="center" wrapText="1"/>
    </xf>
    <xf borderId="103" fillId="0" fontId="29" numFmtId="0" xfId="0" applyAlignment="1" applyBorder="1" applyFont="1">
      <alignment horizontal="center" readingOrder="0" shrinkToFit="0" vertical="center" wrapText="1"/>
    </xf>
    <xf borderId="104" fillId="0" fontId="29" numFmtId="0" xfId="0" applyAlignment="1" applyBorder="1" applyFont="1">
      <alignment horizontal="center" readingOrder="0" shrinkToFit="0" vertical="center" wrapText="1"/>
    </xf>
    <xf borderId="105" fillId="0" fontId="3" numFmtId="0" xfId="0" applyBorder="1" applyFont="1"/>
    <xf borderId="43" fillId="0" fontId="53" numFmtId="0" xfId="0" applyAlignment="1" applyBorder="1" applyFont="1">
      <alignment horizontal="left" readingOrder="0" shrinkToFit="0" vertical="center" wrapText="1"/>
    </xf>
    <xf borderId="44" fillId="16" fontId="54" numFmtId="0" xfId="0" applyAlignment="1" applyBorder="1" applyFont="1">
      <alignment horizontal="center" readingOrder="0" shrinkToFit="0" vertical="center" wrapText="1"/>
    </xf>
    <xf borderId="45" fillId="3" fontId="53" numFmtId="0" xfId="0" applyAlignment="1" applyBorder="1" applyFont="1">
      <alignment horizontal="center" readingOrder="0" shrinkToFit="0" vertical="center" wrapText="1"/>
    </xf>
    <xf borderId="45" fillId="0" fontId="53" numFmtId="10" xfId="0" applyAlignment="1" applyBorder="1" applyFont="1" applyNumberFormat="1">
      <alignment horizontal="center" shrinkToFit="0" vertical="center" wrapText="1"/>
    </xf>
    <xf borderId="44" fillId="0" fontId="54" numFmtId="0" xfId="0" applyAlignment="1" applyBorder="1" applyFont="1">
      <alignment horizontal="center" readingOrder="0" shrinkToFit="0" vertical="center" wrapText="1"/>
    </xf>
    <xf borderId="48" fillId="0" fontId="33" numFmtId="0" xfId="0" applyAlignment="1" applyBorder="1" applyFont="1">
      <alignment horizontal="left" readingOrder="0" shrinkToFit="0" vertical="center" wrapText="1"/>
    </xf>
    <xf borderId="54" fillId="0" fontId="52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horizontal="left" readingOrder="0" shrinkToFit="0" vertical="center" wrapText="1"/>
    </xf>
    <xf borderId="80" fillId="0" fontId="29" numFmtId="166" xfId="0" applyAlignment="1" applyBorder="1" applyFont="1" applyNumberFormat="1">
      <alignment horizontal="center" readingOrder="0" shrinkToFit="0" vertical="center" wrapText="1"/>
    </xf>
    <xf borderId="81" fillId="0" fontId="29" numFmtId="0" xfId="0" applyAlignment="1" applyBorder="1" applyFont="1">
      <alignment horizontal="center" readingOrder="0" shrinkToFit="0" vertical="center" wrapText="1"/>
    </xf>
    <xf borderId="106" fillId="0" fontId="33" numFmtId="0" xfId="0" applyAlignment="1" applyBorder="1" applyFont="1">
      <alignment horizontal="center" readingOrder="0" shrinkToFit="0" vertical="center" wrapText="1"/>
    </xf>
    <xf borderId="107" fillId="0" fontId="3" numFmtId="0" xfId="0" applyBorder="1" applyFont="1"/>
    <xf borderId="108" fillId="0" fontId="53" numFmtId="0" xfId="0" applyAlignment="1" applyBorder="1" applyFont="1">
      <alignment horizontal="left" readingOrder="0" shrinkToFit="0" vertical="center" wrapText="1"/>
    </xf>
    <xf borderId="109" fillId="0" fontId="54" numFmtId="0" xfId="0" applyAlignment="1" applyBorder="1" applyFont="1">
      <alignment horizontal="center" readingOrder="0" shrinkToFit="0" vertical="center" wrapText="1"/>
    </xf>
    <xf borderId="110" fillId="3" fontId="53" numFmtId="0" xfId="0" applyAlignment="1" applyBorder="1" applyFont="1">
      <alignment horizontal="center" readingOrder="0" shrinkToFit="0" vertical="center" wrapText="1"/>
    </xf>
    <xf borderId="111" fillId="0" fontId="3" numFmtId="0" xfId="0" applyBorder="1" applyFont="1"/>
    <xf borderId="110" fillId="0" fontId="53" numFmtId="10" xfId="0" applyAlignment="1" applyBorder="1" applyFont="1" applyNumberFormat="1">
      <alignment horizontal="center" shrinkToFit="0" vertical="center" wrapText="1"/>
    </xf>
    <xf borderId="112" fillId="0" fontId="3" numFmtId="0" xfId="0" applyBorder="1" applyFont="1"/>
    <xf borderId="113" fillId="0" fontId="3" numFmtId="0" xfId="0" applyBorder="1" applyFont="1"/>
    <xf borderId="80" fillId="0" fontId="33" numFmtId="0" xfId="0" applyAlignment="1" applyBorder="1" applyFont="1">
      <alignment horizontal="left" readingOrder="0" shrinkToFit="0" vertical="center" wrapText="1"/>
    </xf>
    <xf borderId="81" fillId="3" fontId="29" numFmtId="0" xfId="0" applyAlignment="1" applyBorder="1" applyFont="1">
      <alignment horizontal="center" readingOrder="0" shrinkToFit="0" vertical="center" wrapText="1"/>
    </xf>
    <xf borderId="106" fillId="3" fontId="29" numFmtId="0" xfId="0" applyAlignment="1" applyBorder="1" applyFont="1">
      <alignment horizontal="center" readingOrder="0" shrinkToFit="0" vertical="center" wrapText="1"/>
    </xf>
    <xf borderId="114" fillId="0" fontId="3" numFmtId="0" xfId="0" applyBorder="1" applyFont="1"/>
    <xf borderId="115" fillId="0" fontId="3" numFmtId="0" xfId="0" applyBorder="1" applyFont="1"/>
    <xf borderId="106" fillId="0" fontId="29" numFmtId="10" xfId="0" applyAlignment="1" applyBorder="1" applyFont="1" applyNumberFormat="1">
      <alignment horizontal="center" shrinkToFit="0" vertical="center" wrapText="1"/>
    </xf>
    <xf borderId="83" fillId="0" fontId="51" numFmtId="0" xfId="0" applyAlignment="1" applyBorder="1" applyFont="1">
      <alignment horizontal="left" readingOrder="0" shrinkToFit="0" vertical="center" wrapText="1"/>
    </xf>
    <xf borderId="84" fillId="0" fontId="52" numFmtId="0" xfId="0" applyAlignment="1" applyBorder="1" applyFont="1">
      <alignment horizontal="center" readingOrder="0" shrinkToFit="0" vertical="center" wrapText="1"/>
    </xf>
    <xf borderId="116" fillId="3" fontId="51" numFmtId="0" xfId="0" applyAlignment="1" applyBorder="1" applyFont="1">
      <alignment horizontal="center" readingOrder="0" shrinkToFit="0" vertical="center" wrapText="1"/>
    </xf>
    <xf borderId="117" fillId="0" fontId="3" numFmtId="0" xfId="0" applyBorder="1" applyFont="1"/>
    <xf borderId="116" fillId="0" fontId="51" numFmtId="10" xfId="0" applyAlignment="1" applyBorder="1" applyFont="1" applyNumberFormat="1">
      <alignment horizontal="center" shrinkToFit="0" vertical="center" wrapText="1"/>
    </xf>
    <xf borderId="118" fillId="0" fontId="3" numFmtId="0" xfId="0" applyBorder="1" applyFont="1"/>
    <xf borderId="119" fillId="0" fontId="3" numFmtId="0" xfId="0" applyBorder="1" applyFont="1"/>
    <xf borderId="0" fillId="0" fontId="10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3000">
                <a:solidFill>
                  <a:srgbClr val="351C75"/>
                </a:solidFill>
                <a:latin typeface="+mn-lt"/>
              </a:defRPr>
            </a:pPr>
            <a:r>
              <a:rPr b="1" sz="3000">
                <a:solidFill>
                  <a:srgbClr val="351C75"/>
                </a:solidFill>
                <a:latin typeface="+mn-lt"/>
              </a:rPr>
              <a:t>BUDGET vs ACTUAL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Sheet1!$R$2</c:f>
            </c:strRef>
          </c:tx>
          <c:spPr>
            <a:solidFill>
              <a:srgbClr val="666666"/>
            </a:solidFill>
            <a:ln cmpd="sng">
              <a:solidFill>
                <a:srgbClr val="000000"/>
              </a:solidFill>
            </a:ln>
          </c:spPr>
          <c:cat>
            <c:strRef>
              <c:f>Sheet1!$Q$3:$Q$6</c:f>
            </c:strRef>
          </c:cat>
          <c:val>
            <c:numRef>
              <c:f>Sheet1!$R$3:$R$6</c:f>
              <c:numCache/>
            </c:numRef>
          </c:val>
        </c:ser>
        <c:ser>
          <c:idx val="1"/>
          <c:order val="1"/>
          <c:tx>
            <c:strRef>
              <c:f>Sheet1!$S$2</c:f>
            </c:strRef>
          </c:tx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cat>
            <c:strRef>
              <c:f>Sheet1!$Q$3:$Q$6</c:f>
            </c:strRef>
          </c:cat>
          <c:val>
            <c:numRef>
              <c:f>Sheet1!$S$3:$S$6</c:f>
              <c:numCache/>
            </c:numRef>
          </c:val>
        </c:ser>
        <c:axId val="1105868272"/>
        <c:axId val="372625737"/>
      </c:bar3DChart>
      <c:catAx>
        <c:axId val="110586827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2625737"/>
      </c:catAx>
      <c:valAx>
        <c:axId val="37262573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5868272"/>
        <c:crosses val="max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3000">
                <a:solidFill>
                  <a:srgbClr val="660000"/>
                </a:solidFill>
                <a:latin typeface="+mn-lt"/>
              </a:defRPr>
            </a:pPr>
            <a:r>
              <a:rPr b="1" sz="3000">
                <a:solidFill>
                  <a:srgbClr val="660000"/>
                </a:solidFill>
                <a:latin typeface="+mn-lt"/>
              </a:rPr>
              <a:t>LEFT TO SPEND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explosion val="0"/>
            <c:spPr>
              <a:solidFill>
                <a:schemeClr val="accent2"/>
              </a:solidFill>
              <a:ln cmpd="sng" w="9525">
                <a:solidFill>
                  <a:srgbClr val="FF0000"/>
                </a:solidFill>
              </a:ln>
            </c:spPr>
          </c:dPt>
          <c:dPt>
            <c:idx val="1"/>
            <c:explosion val="0"/>
            <c:spPr>
              <a:solidFill>
                <a:srgbClr val="F4CCCC"/>
              </a:solidFill>
              <a:ln cmpd="sng" w="9525">
                <a:solidFill>
                  <a:srgbClr val="FF0000"/>
                </a:solidFill>
              </a:ln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(Sheet1!$AC$4,Sheet1!$AC$4)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70"/>
      </c:doughnutChart>
    </c:plotArea>
    <c:plotVisOnly val="1"/>
  </c:chart>
  <c:spPr>
    <a:solidFill>
      <a:srgbClr val="FFFFFF">
        <a:alpha val="0"/>
      </a:srgbClr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3000">
                <a:solidFill>
                  <a:srgbClr val="0B5394"/>
                </a:solidFill>
                <a:latin typeface="+mn-lt"/>
              </a:defRPr>
            </a:pPr>
            <a:r>
              <a:rPr b="1" sz="3000">
                <a:solidFill>
                  <a:srgbClr val="0B5394"/>
                </a:solidFill>
                <a:latin typeface="+mn-lt"/>
              </a:rPr>
              <a:t>BREAKOWN</a:t>
            </a:r>
          </a:p>
        </c:rich>
      </c:tx>
      <c:overlay val="0"/>
    </c:title>
    <c:plotArea>
      <c:layout>
        <c:manualLayout>
          <c:xMode val="edge"/>
          <c:yMode val="edge"/>
          <c:x val="0.03737373737373737"/>
          <c:y val="0.21666666666666667"/>
          <c:w val="0.9333333333333333"/>
          <c:h val="0.7363636363636363"/>
        </c:manualLayout>
      </c:layout>
      <c:pieChart>
        <c:varyColors val="1"/>
        <c:ser>
          <c:idx val="0"/>
          <c:order val="0"/>
          <c:dPt>
            <c:idx val="0"/>
            <c:explosion val="75"/>
            <c:spPr>
              <a:solidFill>
                <a:srgbClr val="1C4587"/>
              </a:solidFill>
            </c:spPr>
          </c:dPt>
          <c:dPt>
            <c:idx val="1"/>
            <c:explosion val="0"/>
            <c:spPr>
              <a:solidFill>
                <a:srgbClr val="FFFF00"/>
              </a:solidFill>
            </c:spPr>
          </c:dPt>
          <c:dPt>
            <c:idx val="2"/>
            <c:spPr>
              <a:solidFill>
                <a:srgbClr val="B7B7B7"/>
              </a:solidFill>
            </c:spPr>
          </c:dPt>
          <c:dPt>
            <c:idx val="3"/>
            <c:spPr>
              <a:solidFill>
                <a:srgbClr val="FF9900"/>
              </a:solidFill>
            </c:spPr>
          </c:dPt>
          <c:dPt>
            <c:idx val="4"/>
            <c:spPr>
              <a:solidFill>
                <a:srgbClr val="674EA7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Sheet1!$Z$2:$Z$6</c:f>
            </c:strRef>
          </c:cat>
          <c:val>
            <c:numRef>
              <c:f>Sheet1!$AA$2:$AA$6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t"/>
      <c:overlay val="0"/>
      <c:txPr>
        <a:bodyPr/>
        <a:lstStyle/>
        <a:p>
          <a:pPr lvl="0">
            <a:defRPr b="1" i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3000">
                <a:solidFill>
                  <a:srgbClr val="B45F06"/>
                </a:solidFill>
                <a:latin typeface="+mn-lt"/>
              </a:defRPr>
            </a:pPr>
            <a:r>
              <a:rPr b="1" sz="3000">
                <a:solidFill>
                  <a:srgbClr val="B45F06"/>
                </a:solidFill>
                <a:latin typeface="+mn-lt"/>
              </a:rPr>
              <a:t>EXPENSES SPENDING CHART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Sheet1!$R$34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Sheet1!$P$35:$P$42</c:f>
            </c:strRef>
          </c:cat>
          <c:val>
            <c:numRef>
              <c:f>Sheet1!$R$35:$R$42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25"/>
      </c:doughnutChart>
    </c:plotArea>
    <c:legend>
      <c:legendPos val="r"/>
      <c:overlay val="0"/>
      <c:txPr>
        <a:bodyPr/>
        <a:lstStyle/>
        <a:p>
          <a:pPr lvl="0">
            <a:defRPr b="1" sz="1600">
              <a:solidFill>
                <a:srgbClr val="741B47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3000">
                <a:solidFill>
                  <a:srgbClr val="741B47"/>
                </a:solidFill>
                <a:latin typeface="+mn-lt"/>
              </a:defRPr>
            </a:pPr>
            <a:r>
              <a:rPr b="1" i="0" sz="3000">
                <a:solidFill>
                  <a:srgbClr val="741B47"/>
                </a:solidFill>
                <a:latin typeface="+mn-lt"/>
              </a:rPr>
              <a:t>BILLS SPENDING CHART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tx>
            <c:strRef>
              <c:f>Sheet1!$J$34</c:f>
            </c:strRef>
          </c:tx>
          <c:dPt>
            <c:idx val="0"/>
            <c:spPr>
              <a:solidFill>
                <a:srgbClr val="00FFFF"/>
              </a:solidFill>
            </c:spPr>
          </c:dPt>
          <c:dPt>
            <c:idx val="1"/>
            <c:spPr>
              <a:solidFill>
                <a:srgbClr val="38761D"/>
              </a:solidFill>
            </c:spPr>
          </c:dPt>
          <c:dPt>
            <c:idx val="2"/>
            <c:spPr>
              <a:solidFill>
                <a:srgbClr val="FFFF00"/>
              </a:solidFill>
            </c:spPr>
          </c:dPt>
          <c:dPt>
            <c:idx val="3"/>
            <c:spPr>
              <a:solidFill>
                <a:srgbClr val="EA4335"/>
              </a:solidFill>
            </c:spPr>
          </c:dPt>
          <c:dPt>
            <c:idx val="4"/>
            <c:spPr>
              <a:solidFill>
                <a:srgbClr val="0000FF"/>
              </a:solidFill>
            </c:spPr>
          </c:dPt>
          <c:dPt>
            <c:idx val="5"/>
            <c:spPr>
              <a:solidFill>
                <a:srgbClr val="E69138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Sheet1!$H$35:$H$40</c:f>
            </c:strRef>
          </c:cat>
          <c:val>
            <c:numRef>
              <c:f>Sheet1!$J$35:$J$40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25"/>
      </c:doughnutChart>
    </c:plotArea>
    <c:legend>
      <c:legendPos val="l"/>
      <c:overlay val="0"/>
      <c:txPr>
        <a:bodyPr/>
        <a:lstStyle/>
        <a:p>
          <a:pPr lvl="0">
            <a:defRPr b="0" sz="16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3000">
                <a:solidFill>
                  <a:srgbClr val="0B5394"/>
                </a:solidFill>
                <a:latin typeface="+mn-lt"/>
              </a:defRPr>
            </a:pPr>
            <a:r>
              <a:rPr b="1" i="0" sz="3000">
                <a:solidFill>
                  <a:srgbClr val="0B5394"/>
                </a:solidFill>
                <a:latin typeface="+mn-lt"/>
              </a:rPr>
              <a:t>DEBT SPENDING CHART 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tx>
            <c:strRef>
              <c:f>Sheet1!$AC$34</c:f>
            </c:strRef>
          </c:tx>
          <c:dPt>
            <c:idx val="0"/>
            <c:spPr>
              <a:solidFill>
                <a:srgbClr val="E06666"/>
              </a:solidFill>
            </c:spPr>
          </c:dPt>
          <c:dPt>
            <c:idx val="1"/>
            <c:spPr>
              <a:solidFill>
                <a:schemeClr val="accent6"/>
              </a:solidFill>
            </c:spPr>
          </c:dPt>
          <c:dPt>
            <c:idx val="2"/>
            <c:spPr>
              <a:solidFill>
                <a:srgbClr val="741B47"/>
              </a:solidFill>
            </c:spPr>
          </c:dPt>
          <c:dPt>
            <c:idx val="3"/>
            <c:spPr>
              <a:solidFill>
                <a:schemeClr val="accent1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Sheet1!$Y$35:$Y$38</c:f>
            </c:strRef>
          </c:cat>
          <c:val>
            <c:numRef>
              <c:f>Sheet1!$AC$35:$AC$38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25"/>
      </c:doughnutChart>
    </c:plotArea>
    <c:legend>
      <c:legendPos val="r"/>
      <c:overlay val="0"/>
      <c:txPr>
        <a:bodyPr/>
        <a:lstStyle/>
        <a:p>
          <a:pPr lvl="0">
            <a:defRPr b="0" sz="16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9525</xdr:colOff>
      <xdr:row>0</xdr:row>
      <xdr:rowOff>133350</xdr:rowOff>
    </xdr:from>
    <xdr:ext cx="8039100" cy="36576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419100</xdr:colOff>
      <xdr:row>0</xdr:row>
      <xdr:rowOff>133350</xdr:rowOff>
    </xdr:from>
    <xdr:ext cx="7362825" cy="36576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24</xdr:col>
      <xdr:colOff>19050</xdr:colOff>
      <xdr:row>0</xdr:row>
      <xdr:rowOff>133350</xdr:rowOff>
    </xdr:from>
    <xdr:ext cx="7277100" cy="36576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15</xdr:col>
      <xdr:colOff>9525</xdr:colOff>
      <xdr:row>24</xdr:row>
      <xdr:rowOff>485775</xdr:rowOff>
    </xdr:from>
    <xdr:ext cx="7877175" cy="298132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6</xdr:col>
      <xdr:colOff>419100</xdr:colOff>
      <xdr:row>24</xdr:row>
      <xdr:rowOff>485775</xdr:rowOff>
    </xdr:from>
    <xdr:ext cx="7362825" cy="298132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24</xdr:col>
      <xdr:colOff>19050</xdr:colOff>
      <xdr:row>24</xdr:row>
      <xdr:rowOff>495300</xdr:rowOff>
    </xdr:from>
    <xdr:ext cx="7077075" cy="298132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8.88"/>
    <col customWidth="1" min="2" max="2" width="6.63"/>
    <col customWidth="1" min="3" max="3" width="9.63"/>
    <col customWidth="1" min="4" max="4" width="20.38"/>
    <col customWidth="1" min="5" max="5" width="7.88"/>
    <col customWidth="1" min="6" max="6" width="23.63"/>
    <col customWidth="1" min="7" max="7" width="5.63"/>
    <col customWidth="1" min="8" max="8" width="16.63"/>
    <col customWidth="1" min="9" max="9" width="16.38"/>
    <col customWidth="1" min="10" max="10" width="9.63"/>
    <col customWidth="1" min="11" max="11" width="16.88"/>
    <col customWidth="1" min="15" max="15" width="5.63"/>
    <col customWidth="1" min="16" max="16" width="19.38"/>
    <col customWidth="1" min="17" max="17" width="22.75"/>
    <col customWidth="1" min="18" max="18" width="8.88"/>
    <col customWidth="1" min="20" max="20" width="8.88"/>
    <col customWidth="1" min="22" max="22" width="8.38"/>
    <col customWidth="1" min="24" max="24" width="6.38"/>
    <col customWidth="1" min="25" max="25" width="22.0"/>
    <col customWidth="1" min="26" max="26" width="19.63"/>
    <col customWidth="1" min="28" max="28" width="9.13"/>
    <col customWidth="1" min="30" max="30" width="9.13"/>
    <col customWidth="1" min="31" max="31" width="11.25"/>
    <col customWidth="1" min="32" max="32" width="10.88"/>
    <col customWidth="1" min="33" max="33" width="16.25"/>
    <col customWidth="1" min="35" max="38" width="14.25"/>
  </cols>
  <sheetData>
    <row r="1" ht="51.0" customHeight="1">
      <c r="A1" s="1" t="s">
        <v>0</v>
      </c>
      <c r="G1" s="2"/>
      <c r="H1" s="3"/>
      <c r="I1" s="4"/>
      <c r="J1" s="5"/>
      <c r="K1" s="6"/>
      <c r="L1" s="7"/>
      <c r="M1" s="8"/>
      <c r="N1" s="4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9"/>
      <c r="AK1" s="9"/>
      <c r="AL1" s="9"/>
    </row>
    <row r="2" ht="45.0" customHeight="1">
      <c r="A2" s="10" t="s">
        <v>1</v>
      </c>
      <c r="G2" s="11"/>
      <c r="H2" s="12"/>
      <c r="I2" s="13"/>
      <c r="J2" s="5"/>
      <c r="K2" s="14"/>
      <c r="L2" s="12"/>
      <c r="N2" s="13"/>
      <c r="O2" s="15"/>
      <c r="P2" s="15"/>
      <c r="Q2" s="16" t="s">
        <v>2</v>
      </c>
      <c r="R2" s="16" t="s">
        <v>3</v>
      </c>
      <c r="S2" s="16" t="s">
        <v>4</v>
      </c>
      <c r="T2" s="16"/>
      <c r="U2" s="17"/>
      <c r="V2" s="15"/>
      <c r="W2" s="15"/>
      <c r="X2" s="18" t="s">
        <v>5</v>
      </c>
      <c r="Y2" s="15"/>
      <c r="Z2" s="16" t="s">
        <v>2</v>
      </c>
      <c r="AA2" s="16" t="s">
        <v>4</v>
      </c>
      <c r="AB2" s="15"/>
      <c r="AC2" s="15"/>
      <c r="AD2" s="15"/>
      <c r="AE2" s="15"/>
      <c r="AF2" s="15"/>
      <c r="AG2" s="17"/>
      <c r="AH2" s="17"/>
      <c r="AI2" s="15"/>
      <c r="AJ2" s="19"/>
      <c r="AK2" s="20"/>
      <c r="AL2" s="20"/>
    </row>
    <row r="3" ht="39.0" customHeight="1">
      <c r="A3" s="21" t="s">
        <v>6</v>
      </c>
      <c r="B3" s="22"/>
      <c r="C3" s="22"/>
      <c r="D3" s="22"/>
      <c r="E3" s="22"/>
      <c r="F3" s="23"/>
      <c r="G3" s="18"/>
      <c r="H3" s="12"/>
      <c r="I3" s="13"/>
      <c r="J3" s="5"/>
      <c r="K3" s="24"/>
      <c r="L3" s="12"/>
      <c r="N3" s="13"/>
      <c r="O3" s="15"/>
      <c r="P3" s="15"/>
      <c r="Q3" s="16" t="s">
        <v>7</v>
      </c>
      <c r="R3" s="25">
        <f t="shared" ref="R3:R6" si="1">D13</f>
        <v>1340</v>
      </c>
      <c r="S3" s="25">
        <f t="shared" ref="S3:S6" si="2">F13</f>
        <v>1325</v>
      </c>
      <c r="T3" s="25"/>
      <c r="U3" s="17"/>
      <c r="V3" s="15"/>
      <c r="X3" s="15"/>
      <c r="Y3" s="15"/>
      <c r="Z3" s="16" t="s">
        <v>7</v>
      </c>
      <c r="AA3" s="25">
        <f t="shared" ref="AA3:AA6" si="3">F13</f>
        <v>1325</v>
      </c>
      <c r="AB3" s="15"/>
      <c r="AC3" s="15"/>
      <c r="AD3" s="15"/>
      <c r="AE3" s="15"/>
      <c r="AF3" s="15"/>
      <c r="AG3" s="26"/>
      <c r="AH3" s="17"/>
      <c r="AI3" s="15"/>
      <c r="AJ3" s="19"/>
      <c r="AK3" s="20"/>
      <c r="AL3" s="20"/>
    </row>
    <row r="4" ht="51.0" customHeight="1">
      <c r="A4" s="27" t="s">
        <v>8</v>
      </c>
      <c r="B4" s="28"/>
      <c r="C4" s="28"/>
      <c r="D4" s="28"/>
      <c r="E4" s="29"/>
      <c r="F4" s="30" t="s">
        <v>9</v>
      </c>
      <c r="G4" s="31"/>
      <c r="H4" s="12"/>
      <c r="I4" s="13"/>
      <c r="J4" s="32" t="str">
        <f>F6&amp; " " &amp; TEXT(F17,"#,##0.00")</f>
        <v>£  990.00</v>
      </c>
      <c r="K4" s="33"/>
      <c r="L4" s="34"/>
      <c r="M4" s="35"/>
      <c r="N4" s="36"/>
      <c r="O4" s="15"/>
      <c r="P4" s="15"/>
      <c r="Q4" s="16" t="s">
        <v>10</v>
      </c>
      <c r="R4" s="25">
        <f t="shared" si="1"/>
        <v>1220</v>
      </c>
      <c r="S4" s="25">
        <f t="shared" si="2"/>
        <v>985</v>
      </c>
      <c r="T4" s="25"/>
      <c r="U4" s="17"/>
      <c r="V4" s="15"/>
      <c r="W4" s="15"/>
      <c r="X4" s="15"/>
      <c r="Y4" s="15"/>
      <c r="Z4" s="16" t="s">
        <v>10</v>
      </c>
      <c r="AA4" s="25">
        <f t="shared" si="3"/>
        <v>985</v>
      </c>
      <c r="AB4" s="18" t="s">
        <v>11</v>
      </c>
      <c r="AC4" s="37">
        <f>sum(F11:F12)</f>
        <v>4380</v>
      </c>
      <c r="AD4" s="15"/>
      <c r="AE4" s="15"/>
      <c r="AF4" s="15"/>
      <c r="AG4" s="15"/>
      <c r="AH4" s="15"/>
      <c r="AI4" s="15"/>
      <c r="AJ4" s="19"/>
      <c r="AK4" s="20"/>
      <c r="AL4" s="20"/>
    </row>
    <row r="5" ht="39.0" customHeight="1">
      <c r="A5" s="27" t="s">
        <v>12</v>
      </c>
      <c r="B5" s="28"/>
      <c r="C5" s="28"/>
      <c r="D5" s="28"/>
      <c r="E5" s="29"/>
      <c r="F5" s="30" t="s">
        <v>13</v>
      </c>
      <c r="G5" s="18" t="s">
        <v>14</v>
      </c>
      <c r="H5" s="12"/>
      <c r="I5" s="13"/>
      <c r="J5" s="5"/>
      <c r="K5" s="3"/>
      <c r="L5" s="8"/>
      <c r="M5" s="8"/>
      <c r="N5" s="4"/>
      <c r="O5" s="15"/>
      <c r="P5" s="15"/>
      <c r="Q5" s="16" t="s">
        <v>15</v>
      </c>
      <c r="R5" s="25">
        <f t="shared" si="1"/>
        <v>570</v>
      </c>
      <c r="S5" s="25">
        <f t="shared" si="2"/>
        <v>500</v>
      </c>
      <c r="T5" s="25"/>
      <c r="U5" s="17"/>
      <c r="V5" s="15"/>
      <c r="W5" s="15"/>
      <c r="X5" s="15"/>
      <c r="Y5" s="15"/>
      <c r="Z5" s="16" t="s">
        <v>15</v>
      </c>
      <c r="AA5" s="25">
        <f t="shared" si="3"/>
        <v>500</v>
      </c>
      <c r="AB5" s="18" t="s">
        <v>16</v>
      </c>
      <c r="AC5" s="15">
        <f>sum(N11:N31,U11:U31,AE11:AE24,F28:F31)</f>
        <v>3390</v>
      </c>
      <c r="AD5" s="15"/>
      <c r="AE5" s="15"/>
      <c r="AF5" s="15"/>
      <c r="AG5" s="17"/>
      <c r="AH5" s="17"/>
      <c r="AI5" s="17"/>
      <c r="AJ5" s="19"/>
      <c r="AK5" s="20"/>
      <c r="AL5" s="20"/>
    </row>
    <row r="6" ht="39.0" customHeight="1">
      <c r="A6" s="27" t="s">
        <v>17</v>
      </c>
      <c r="B6" s="28"/>
      <c r="C6" s="28"/>
      <c r="D6" s="28"/>
      <c r="E6" s="29"/>
      <c r="F6" s="38" t="s">
        <v>18</v>
      </c>
      <c r="G6" s="15"/>
      <c r="H6" s="34"/>
      <c r="I6" s="36"/>
      <c r="J6" s="5"/>
      <c r="K6" s="12"/>
      <c r="N6" s="13"/>
      <c r="O6" s="15"/>
      <c r="P6" s="15"/>
      <c r="Q6" s="16" t="s">
        <v>19</v>
      </c>
      <c r="R6" s="25">
        <f t="shared" si="1"/>
        <v>620</v>
      </c>
      <c r="S6" s="25">
        <f t="shared" si="2"/>
        <v>580</v>
      </c>
      <c r="T6" s="25"/>
      <c r="U6" s="17"/>
      <c r="V6" s="15"/>
      <c r="W6" s="15"/>
      <c r="X6" s="15"/>
      <c r="Y6" s="15"/>
      <c r="Z6" s="16" t="s">
        <v>19</v>
      </c>
      <c r="AA6" s="25">
        <f t="shared" si="3"/>
        <v>580</v>
      </c>
      <c r="AB6" s="15"/>
      <c r="AC6" s="15"/>
      <c r="AD6" s="15"/>
      <c r="AE6" s="15"/>
      <c r="AF6" s="15"/>
      <c r="AG6" s="17"/>
      <c r="AH6" s="17"/>
      <c r="AI6" s="17"/>
      <c r="AJ6" s="39"/>
      <c r="AK6" s="11"/>
      <c r="AL6" s="11"/>
    </row>
    <row r="7" ht="39.0" customHeight="1">
      <c r="A7" s="40" t="s">
        <v>20</v>
      </c>
      <c r="B7" s="41"/>
      <c r="C7" s="41"/>
      <c r="D7" s="41"/>
      <c r="E7" s="42"/>
      <c r="F7" s="43">
        <v>1000.0</v>
      </c>
      <c r="G7" s="15"/>
      <c r="H7" s="5"/>
      <c r="I7" s="5"/>
      <c r="J7" s="5"/>
      <c r="K7" s="34"/>
      <c r="L7" s="35"/>
      <c r="M7" s="35"/>
      <c r="N7" s="36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7"/>
      <c r="AA7" s="17"/>
      <c r="AB7" s="15"/>
      <c r="AC7" s="15"/>
      <c r="AD7" s="15"/>
      <c r="AE7" s="15"/>
      <c r="AF7" s="15"/>
      <c r="AG7" s="17"/>
      <c r="AH7" s="17"/>
      <c r="AI7" s="17"/>
      <c r="AJ7" s="39"/>
      <c r="AK7" s="39"/>
      <c r="AL7" s="39"/>
    </row>
    <row r="8" ht="19.5" customHeight="1">
      <c r="A8" s="18"/>
      <c r="B8" s="18"/>
      <c r="C8" s="18"/>
      <c r="D8" s="18"/>
      <c r="E8" s="18"/>
      <c r="F8" s="18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7"/>
      <c r="AI8" s="17"/>
      <c r="AJ8" s="39"/>
      <c r="AK8" s="39"/>
      <c r="AL8" s="39"/>
    </row>
    <row r="9" ht="39.0" customHeight="1">
      <c r="A9" s="44" t="s">
        <v>21</v>
      </c>
      <c r="B9" s="45"/>
      <c r="C9" s="45"/>
      <c r="D9" s="45"/>
      <c r="E9" s="45"/>
      <c r="F9" s="46"/>
      <c r="G9" s="15"/>
      <c r="H9" s="47" t="s">
        <v>7</v>
      </c>
      <c r="I9" s="48"/>
      <c r="J9" s="48"/>
      <c r="K9" s="48"/>
      <c r="L9" s="48"/>
      <c r="M9" s="48"/>
      <c r="N9" s="49"/>
      <c r="O9" s="15"/>
      <c r="P9" s="50" t="s">
        <v>10</v>
      </c>
      <c r="Q9" s="51"/>
      <c r="R9" s="51"/>
      <c r="S9" s="51"/>
      <c r="T9" s="51"/>
      <c r="U9" s="51"/>
      <c r="V9" s="51"/>
      <c r="W9" s="52"/>
      <c r="X9" s="15"/>
      <c r="Y9" s="53" t="s">
        <v>15</v>
      </c>
      <c r="Z9" s="54"/>
      <c r="AA9" s="54"/>
      <c r="AB9" s="54"/>
      <c r="AC9" s="54"/>
      <c r="AD9" s="54"/>
      <c r="AE9" s="55"/>
      <c r="AF9" s="15"/>
      <c r="AG9" s="17"/>
      <c r="AH9" s="17"/>
      <c r="AI9" s="17"/>
      <c r="AJ9" s="39"/>
      <c r="AK9" s="39"/>
      <c r="AL9" s="39"/>
    </row>
    <row r="10" ht="39.0" customHeight="1">
      <c r="A10" s="56" t="s">
        <v>22</v>
      </c>
      <c r="B10" s="57"/>
      <c r="C10" s="58" t="s">
        <v>23</v>
      </c>
      <c r="D10" s="57"/>
      <c r="E10" s="59" t="s">
        <v>24</v>
      </c>
      <c r="F10" s="60"/>
      <c r="G10" s="15"/>
      <c r="H10" s="61" t="s">
        <v>25</v>
      </c>
      <c r="I10" s="62" t="s">
        <v>22</v>
      </c>
      <c r="J10" s="62" t="s">
        <v>26</v>
      </c>
      <c r="K10" s="63" t="s">
        <v>23</v>
      </c>
      <c r="L10" s="64"/>
      <c r="M10" s="63" t="s">
        <v>24</v>
      </c>
      <c r="N10" s="65"/>
      <c r="O10" s="15"/>
      <c r="P10" s="66" t="s">
        <v>25</v>
      </c>
      <c r="Q10" s="67" t="s">
        <v>22</v>
      </c>
      <c r="R10" s="68" t="s">
        <v>23</v>
      </c>
      <c r="S10" s="69"/>
      <c r="T10" s="68" t="s">
        <v>24</v>
      </c>
      <c r="U10" s="69"/>
      <c r="V10" s="68" t="s">
        <v>27</v>
      </c>
      <c r="W10" s="70"/>
      <c r="X10" s="15"/>
      <c r="Y10" s="71" t="s">
        <v>25</v>
      </c>
      <c r="Z10" s="72" t="s">
        <v>22</v>
      </c>
      <c r="AA10" s="72" t="s">
        <v>26</v>
      </c>
      <c r="AB10" s="73" t="s">
        <v>23</v>
      </c>
      <c r="AC10" s="57"/>
      <c r="AD10" s="73" t="s">
        <v>24</v>
      </c>
      <c r="AE10" s="74"/>
      <c r="AF10" s="15"/>
      <c r="AG10" s="15"/>
      <c r="AH10" s="15"/>
      <c r="AI10" s="15"/>
      <c r="AJ10" s="15"/>
      <c r="AK10" s="17"/>
      <c r="AL10" s="17"/>
    </row>
    <row r="11" ht="39.0" customHeight="1">
      <c r="A11" s="75" t="s">
        <v>28</v>
      </c>
      <c r="B11" s="57"/>
      <c r="C11" s="76" t="str">
        <f>F6</f>
        <v>£ </v>
      </c>
      <c r="D11" s="77">
        <v>1000.0</v>
      </c>
      <c r="E11" s="76" t="str">
        <f>F6</f>
        <v>£ </v>
      </c>
      <c r="F11" s="78">
        <f>F7</f>
        <v>1000</v>
      </c>
      <c r="G11" s="15"/>
      <c r="H11" s="79" t="b">
        <v>1</v>
      </c>
      <c r="I11" s="80" t="s">
        <v>29</v>
      </c>
      <c r="J11" s="81">
        <v>1.0</v>
      </c>
      <c r="K11" s="81" t="str">
        <f>F6</f>
        <v>£ </v>
      </c>
      <c r="L11" s="81">
        <v>900.0</v>
      </c>
      <c r="M11" s="82" t="str">
        <f>F6</f>
        <v>£ </v>
      </c>
      <c r="N11" s="83">
        <v>900.0</v>
      </c>
      <c r="O11" s="15"/>
      <c r="P11" s="84" t="b">
        <v>1</v>
      </c>
      <c r="Q11" s="85" t="s">
        <v>30</v>
      </c>
      <c r="R11" s="85" t="str">
        <f>F6</f>
        <v>£ </v>
      </c>
      <c r="S11" s="85">
        <v>350.0</v>
      </c>
      <c r="T11" s="85" t="str">
        <f>F6</f>
        <v>£ </v>
      </c>
      <c r="U11" s="85">
        <v>300.0</v>
      </c>
      <c r="V11" s="86" t="str">
        <f>F6</f>
        <v>£ </v>
      </c>
      <c r="W11" s="87">
        <f t="shared" ref="W11:W18" si="4">IF(ISBLANK($Q11), "", S11-U11)</f>
        <v>50</v>
      </c>
      <c r="X11" s="15"/>
      <c r="Y11" s="88" t="b">
        <v>1</v>
      </c>
      <c r="Z11" s="89" t="s">
        <v>31</v>
      </c>
      <c r="AA11" s="90">
        <v>7.0</v>
      </c>
      <c r="AB11" s="90" t="str">
        <f>F6</f>
        <v>£ </v>
      </c>
      <c r="AC11" s="90">
        <v>100.0</v>
      </c>
      <c r="AD11" s="91" t="str">
        <f>F6</f>
        <v>£ </v>
      </c>
      <c r="AE11" s="92">
        <v>80.0</v>
      </c>
      <c r="AF11" s="15"/>
      <c r="AG11" s="17"/>
      <c r="AH11" s="17"/>
      <c r="AI11" s="17"/>
      <c r="AJ11" s="39"/>
      <c r="AK11" s="17"/>
      <c r="AL11" s="17"/>
    </row>
    <row r="12" ht="39.0" customHeight="1">
      <c r="A12" s="75" t="s">
        <v>32</v>
      </c>
      <c r="B12" s="57"/>
      <c r="C12" s="76" t="str">
        <f>F6</f>
        <v>£ </v>
      </c>
      <c r="D12" s="77">
        <f>sum(D21:D24)</f>
        <v>3500</v>
      </c>
      <c r="E12" s="76" t="str">
        <f>F6</f>
        <v>£ </v>
      </c>
      <c r="F12" s="78">
        <f>sum(F21:F24)</f>
        <v>3380</v>
      </c>
      <c r="G12" s="15"/>
      <c r="H12" s="79" t="b">
        <v>1</v>
      </c>
      <c r="I12" s="80" t="s">
        <v>33</v>
      </c>
      <c r="J12" s="81">
        <v>5.0</v>
      </c>
      <c r="K12" s="81" t="str">
        <f>F6</f>
        <v>£ </v>
      </c>
      <c r="L12" s="81">
        <v>120.0</v>
      </c>
      <c r="M12" s="82" t="str">
        <f>F6</f>
        <v>£ </v>
      </c>
      <c r="N12" s="83">
        <v>110.0</v>
      </c>
      <c r="O12" s="15"/>
      <c r="P12" s="84" t="b">
        <v>1</v>
      </c>
      <c r="Q12" s="85" t="s">
        <v>34</v>
      </c>
      <c r="R12" s="85" t="str">
        <f>F6</f>
        <v>£ </v>
      </c>
      <c r="S12" s="85">
        <v>150.0</v>
      </c>
      <c r="T12" s="85" t="str">
        <f>F6</f>
        <v>£ </v>
      </c>
      <c r="U12" s="85">
        <v>120.0</v>
      </c>
      <c r="V12" s="86" t="str">
        <f>F6</f>
        <v>£ </v>
      </c>
      <c r="W12" s="87">
        <f t="shared" si="4"/>
        <v>30</v>
      </c>
      <c r="X12" s="15"/>
      <c r="Y12" s="88" t="b">
        <v>1</v>
      </c>
      <c r="Z12" s="89" t="s">
        <v>35</v>
      </c>
      <c r="AA12" s="90">
        <v>10.0</v>
      </c>
      <c r="AB12" s="90" t="str">
        <f>F6</f>
        <v>£ </v>
      </c>
      <c r="AC12" s="90">
        <v>120.0</v>
      </c>
      <c r="AD12" s="91" t="str">
        <f>F6</f>
        <v>£ </v>
      </c>
      <c r="AE12" s="92">
        <v>100.0</v>
      </c>
      <c r="AF12" s="15"/>
      <c r="AG12" s="17"/>
      <c r="AH12" s="17"/>
      <c r="AI12" s="17"/>
      <c r="AJ12" s="93"/>
      <c r="AK12" s="17"/>
      <c r="AL12" s="17"/>
    </row>
    <row r="13" ht="39.0" customHeight="1">
      <c r="A13" s="75" t="s">
        <v>36</v>
      </c>
      <c r="B13" s="57"/>
      <c r="C13" s="76" t="str">
        <f>F6</f>
        <v>£ </v>
      </c>
      <c r="D13" s="77">
        <f>SUM(L11:L16)</f>
        <v>1340</v>
      </c>
      <c r="E13" s="76" t="str">
        <f>F6</f>
        <v>£ </v>
      </c>
      <c r="F13" s="78">
        <f>SUMIF(H11:H31,TRUE,(N11:N31))</f>
        <v>1325</v>
      </c>
      <c r="G13" s="15"/>
      <c r="H13" s="79" t="b">
        <v>1</v>
      </c>
      <c r="I13" s="80" t="s">
        <v>37</v>
      </c>
      <c r="J13" s="81">
        <v>6.0</v>
      </c>
      <c r="K13" s="81" t="str">
        <f>F6</f>
        <v>£ </v>
      </c>
      <c r="L13" s="81">
        <v>40.0</v>
      </c>
      <c r="M13" s="82" t="str">
        <f>F6</f>
        <v>£ </v>
      </c>
      <c r="N13" s="83">
        <v>35.0</v>
      </c>
      <c r="O13" s="15"/>
      <c r="P13" s="84" t="b">
        <v>1</v>
      </c>
      <c r="Q13" s="85" t="s">
        <v>38</v>
      </c>
      <c r="R13" s="85" t="str">
        <f>F6</f>
        <v>£ </v>
      </c>
      <c r="S13" s="85">
        <v>80.0</v>
      </c>
      <c r="T13" s="85" t="str">
        <f>F6</f>
        <v>£ </v>
      </c>
      <c r="U13" s="85">
        <v>60.0</v>
      </c>
      <c r="V13" s="86" t="str">
        <f>F6</f>
        <v>£ </v>
      </c>
      <c r="W13" s="87">
        <f t="shared" si="4"/>
        <v>20</v>
      </c>
      <c r="X13" s="15"/>
      <c r="Y13" s="88" t="b">
        <v>1</v>
      </c>
      <c r="Z13" s="89" t="s">
        <v>39</v>
      </c>
      <c r="AA13" s="90">
        <v>12.0</v>
      </c>
      <c r="AB13" s="90" t="str">
        <f>F6</f>
        <v>£ </v>
      </c>
      <c r="AC13" s="90">
        <v>250.0</v>
      </c>
      <c r="AD13" s="91" t="str">
        <f>F6</f>
        <v>£ </v>
      </c>
      <c r="AE13" s="92">
        <v>250.0</v>
      </c>
      <c r="AF13" s="15"/>
      <c r="AG13" s="17"/>
      <c r="AH13" s="17"/>
      <c r="AI13" s="17"/>
      <c r="AJ13" s="93"/>
      <c r="AK13" s="17"/>
      <c r="AL13" s="17"/>
    </row>
    <row r="14" ht="39.0" customHeight="1">
      <c r="A14" s="75" t="s">
        <v>40</v>
      </c>
      <c r="B14" s="57"/>
      <c r="C14" s="76" t="str">
        <f>F6</f>
        <v>£ </v>
      </c>
      <c r="D14" s="77">
        <f>SUM(S11:S19)</f>
        <v>1220</v>
      </c>
      <c r="E14" s="76" t="str">
        <f>F6</f>
        <v>£ </v>
      </c>
      <c r="F14" s="78">
        <f>SUMIF(P11:P31,TRUE,U11:U31)</f>
        <v>985</v>
      </c>
      <c r="G14" s="15"/>
      <c r="H14" s="79" t="b">
        <v>1</v>
      </c>
      <c r="I14" s="80" t="s">
        <v>41</v>
      </c>
      <c r="J14" s="81">
        <v>7.0</v>
      </c>
      <c r="K14" s="81" t="str">
        <f>F6</f>
        <v>£ </v>
      </c>
      <c r="L14" s="81">
        <v>60.0</v>
      </c>
      <c r="M14" s="82" t="str">
        <f>F6</f>
        <v>£ </v>
      </c>
      <c r="N14" s="83">
        <v>60.0</v>
      </c>
      <c r="O14" s="15"/>
      <c r="P14" s="84" t="b">
        <v>1</v>
      </c>
      <c r="Q14" s="85" t="s">
        <v>42</v>
      </c>
      <c r="R14" s="85" t="str">
        <f>F6</f>
        <v>£ </v>
      </c>
      <c r="S14" s="85">
        <v>200.0</v>
      </c>
      <c r="T14" s="85" t="str">
        <f>F6</f>
        <v>£ </v>
      </c>
      <c r="U14" s="85">
        <v>150.0</v>
      </c>
      <c r="V14" s="86" t="str">
        <f>F6</f>
        <v>£ </v>
      </c>
      <c r="W14" s="87">
        <f t="shared" si="4"/>
        <v>50</v>
      </c>
      <c r="X14" s="15"/>
      <c r="Y14" s="88" t="b">
        <v>1</v>
      </c>
      <c r="Z14" s="89" t="s">
        <v>43</v>
      </c>
      <c r="AA14" s="90">
        <v>20.0</v>
      </c>
      <c r="AB14" s="90" t="str">
        <f>F6</f>
        <v>£ </v>
      </c>
      <c r="AC14" s="90">
        <v>150.0</v>
      </c>
      <c r="AD14" s="91" t="str">
        <f>F6</f>
        <v>£ </v>
      </c>
      <c r="AE14" s="92">
        <v>150.0</v>
      </c>
      <c r="AF14" s="15"/>
      <c r="AG14" s="17"/>
      <c r="AH14" s="17"/>
      <c r="AI14" s="17"/>
      <c r="AJ14" s="93"/>
      <c r="AK14" s="17"/>
      <c r="AL14" s="17"/>
    </row>
    <row r="15" ht="39.0" customHeight="1">
      <c r="A15" s="75" t="s">
        <v>44</v>
      </c>
      <c r="B15" s="57"/>
      <c r="C15" s="76" t="str">
        <f>F6</f>
        <v>£ </v>
      </c>
      <c r="D15" s="77">
        <f>SUM(D28:D31)</f>
        <v>570</v>
      </c>
      <c r="E15" s="76" t="str">
        <f>F6</f>
        <v>£ </v>
      </c>
      <c r="F15" s="78">
        <f>SUM(F28:F31)</f>
        <v>500</v>
      </c>
      <c r="G15" s="15"/>
      <c r="H15" s="79" t="b">
        <v>1</v>
      </c>
      <c r="I15" s="80" t="s">
        <v>45</v>
      </c>
      <c r="J15" s="81">
        <v>10.0</v>
      </c>
      <c r="K15" s="81" t="str">
        <f>F6</f>
        <v>£ </v>
      </c>
      <c r="L15" s="81">
        <v>70.0</v>
      </c>
      <c r="M15" s="82" t="str">
        <f>F6</f>
        <v>£ </v>
      </c>
      <c r="N15" s="83">
        <v>70.0</v>
      </c>
      <c r="O15" s="15"/>
      <c r="P15" s="84" t="b">
        <v>1</v>
      </c>
      <c r="Q15" s="85" t="s">
        <v>46</v>
      </c>
      <c r="R15" s="85" t="str">
        <f>F6</f>
        <v>£ </v>
      </c>
      <c r="S15" s="85">
        <v>150.0</v>
      </c>
      <c r="T15" s="85" t="str">
        <f>F6</f>
        <v>£ </v>
      </c>
      <c r="U15" s="85">
        <v>120.0</v>
      </c>
      <c r="V15" s="86" t="str">
        <f>F6</f>
        <v>£ </v>
      </c>
      <c r="W15" s="87">
        <f t="shared" si="4"/>
        <v>30</v>
      </c>
      <c r="X15" s="15"/>
      <c r="Y15" s="88" t="b">
        <v>0</v>
      </c>
      <c r="Z15" s="94"/>
      <c r="AA15" s="94"/>
      <c r="AB15" s="94"/>
      <c r="AC15" s="94"/>
      <c r="AD15" s="95"/>
      <c r="AE15" s="96"/>
      <c r="AF15" s="15"/>
      <c r="AG15" s="17"/>
      <c r="AH15" s="17"/>
      <c r="AI15" s="17"/>
      <c r="AJ15" s="93"/>
      <c r="AK15" s="93"/>
      <c r="AL15" s="93"/>
    </row>
    <row r="16" ht="39.0" customHeight="1">
      <c r="A16" s="75" t="s">
        <v>47</v>
      </c>
      <c r="B16" s="57"/>
      <c r="C16" s="76" t="str">
        <f>F6</f>
        <v>£ </v>
      </c>
      <c r="D16" s="77">
        <f>SUM(AC11:AC14)</f>
        <v>620</v>
      </c>
      <c r="E16" s="76" t="str">
        <f>F6</f>
        <v>£ </v>
      </c>
      <c r="F16" s="78">
        <f>SUMIF(Y11:Y24,TRUE,AE11:AE24)</f>
        <v>580</v>
      </c>
      <c r="G16" s="15"/>
      <c r="H16" s="97" t="b">
        <v>1</v>
      </c>
      <c r="I16" s="80" t="s">
        <v>48</v>
      </c>
      <c r="J16" s="81">
        <v>15.0</v>
      </c>
      <c r="K16" s="81" t="str">
        <f>F6</f>
        <v>£ </v>
      </c>
      <c r="L16" s="81">
        <v>150.0</v>
      </c>
      <c r="M16" s="82" t="str">
        <f>F6</f>
        <v>£ </v>
      </c>
      <c r="N16" s="83">
        <v>150.0</v>
      </c>
      <c r="O16" s="15"/>
      <c r="P16" s="84" t="b">
        <v>1</v>
      </c>
      <c r="Q16" s="85" t="s">
        <v>49</v>
      </c>
      <c r="R16" s="85" t="str">
        <f>F6</f>
        <v>£ </v>
      </c>
      <c r="S16" s="85">
        <v>180.0</v>
      </c>
      <c r="T16" s="85" t="str">
        <f>F6</f>
        <v>£ </v>
      </c>
      <c r="U16" s="85">
        <v>140.0</v>
      </c>
      <c r="V16" s="86" t="str">
        <f>F6</f>
        <v>£ </v>
      </c>
      <c r="W16" s="87">
        <f t="shared" si="4"/>
        <v>40</v>
      </c>
      <c r="X16" s="15"/>
      <c r="Y16" s="88" t="b">
        <v>0</v>
      </c>
      <c r="Z16" s="94"/>
      <c r="AA16" s="94"/>
      <c r="AB16" s="94"/>
      <c r="AC16" s="94"/>
      <c r="AD16" s="95"/>
      <c r="AE16" s="96"/>
      <c r="AF16" s="15"/>
      <c r="AG16" s="17"/>
      <c r="AH16" s="17"/>
      <c r="AI16" s="17"/>
      <c r="AJ16" s="93"/>
      <c r="AK16" s="93"/>
      <c r="AL16" s="93"/>
    </row>
    <row r="17" ht="39.0" customHeight="1">
      <c r="A17" s="98" t="s">
        <v>50</v>
      </c>
      <c r="B17" s="99"/>
      <c r="C17" s="100" t="str">
        <f>F6</f>
        <v>£ </v>
      </c>
      <c r="D17" s="101">
        <f>D12 + D11 - SUM(D13:D16)</f>
        <v>750</v>
      </c>
      <c r="E17" s="100" t="str">
        <f>F6</f>
        <v>£ </v>
      </c>
      <c r="F17" s="102">
        <f>F12 + F11 - SUM(F13:F16)</f>
        <v>990</v>
      </c>
      <c r="G17" s="15"/>
      <c r="H17" s="79" t="b">
        <v>0</v>
      </c>
      <c r="I17" s="103"/>
      <c r="J17" s="103"/>
      <c r="K17" s="103"/>
      <c r="L17" s="103"/>
      <c r="M17" s="104"/>
      <c r="N17" s="105"/>
      <c r="O17" s="15"/>
      <c r="P17" s="84" t="b">
        <v>1</v>
      </c>
      <c r="Q17" s="85" t="s">
        <v>51</v>
      </c>
      <c r="R17" s="106" t="str">
        <f>F6</f>
        <v>£ </v>
      </c>
      <c r="S17" s="85">
        <v>50.0</v>
      </c>
      <c r="T17" s="85" t="str">
        <f>F6</f>
        <v>£ </v>
      </c>
      <c r="U17" s="85">
        <v>50.0</v>
      </c>
      <c r="V17" s="86" t="str">
        <f>F6</f>
        <v>£ </v>
      </c>
      <c r="W17" s="87">
        <f t="shared" si="4"/>
        <v>0</v>
      </c>
      <c r="X17" s="15"/>
      <c r="Y17" s="88" t="b">
        <v>0</v>
      </c>
      <c r="Z17" s="94"/>
      <c r="AA17" s="94"/>
      <c r="AB17" s="94"/>
      <c r="AC17" s="94"/>
      <c r="AD17" s="95"/>
      <c r="AE17" s="96"/>
      <c r="AF17" s="15"/>
      <c r="AG17" s="17"/>
      <c r="AH17" s="17"/>
      <c r="AI17" s="17"/>
      <c r="AJ17" s="93"/>
      <c r="AK17" s="93"/>
      <c r="AL17" s="93"/>
    </row>
    <row r="18" ht="34.5" customHeight="1">
      <c r="A18" s="15"/>
      <c r="B18" s="15"/>
      <c r="C18" s="15"/>
      <c r="D18" s="15"/>
      <c r="E18" s="15"/>
      <c r="F18" s="15"/>
      <c r="G18" s="15"/>
      <c r="H18" s="79" t="b">
        <v>0</v>
      </c>
      <c r="I18" s="103"/>
      <c r="J18" s="103"/>
      <c r="K18" s="103"/>
      <c r="L18" s="103"/>
      <c r="M18" s="104"/>
      <c r="N18" s="105"/>
      <c r="O18" s="15"/>
      <c r="P18" s="84" t="b">
        <v>1</v>
      </c>
      <c r="Q18" s="85" t="s">
        <v>52</v>
      </c>
      <c r="R18" s="85" t="str">
        <f>F6</f>
        <v>£ </v>
      </c>
      <c r="S18" s="85">
        <v>60.0</v>
      </c>
      <c r="T18" s="85" t="str">
        <f>F6</f>
        <v>£ </v>
      </c>
      <c r="U18" s="85">
        <v>45.0</v>
      </c>
      <c r="V18" s="86" t="str">
        <f>F6</f>
        <v>£ </v>
      </c>
      <c r="W18" s="87">
        <f t="shared" si="4"/>
        <v>15</v>
      </c>
      <c r="X18" s="15"/>
      <c r="Y18" s="88" t="b">
        <v>0</v>
      </c>
      <c r="Z18" s="94"/>
      <c r="AA18" s="94"/>
      <c r="AB18" s="94"/>
      <c r="AC18" s="94"/>
      <c r="AD18" s="95"/>
      <c r="AE18" s="96"/>
      <c r="AF18" s="15"/>
      <c r="AG18" s="17"/>
      <c r="AH18" s="17"/>
      <c r="AI18" s="17"/>
      <c r="AJ18" s="93"/>
      <c r="AK18" s="93"/>
      <c r="AL18" s="93"/>
    </row>
    <row r="19" ht="39.0" customHeight="1">
      <c r="A19" s="107" t="s">
        <v>53</v>
      </c>
      <c r="B19" s="108"/>
      <c r="C19" s="108"/>
      <c r="D19" s="108"/>
      <c r="E19" s="108"/>
      <c r="F19" s="109"/>
      <c r="G19" s="15"/>
      <c r="H19" s="79" t="b">
        <v>0</v>
      </c>
      <c r="I19" s="103"/>
      <c r="J19" s="103"/>
      <c r="K19" s="103"/>
      <c r="L19" s="103"/>
      <c r="M19" s="104"/>
      <c r="N19" s="105"/>
      <c r="O19" s="15"/>
      <c r="P19" s="84" t="b">
        <v>0</v>
      </c>
      <c r="Q19" s="110"/>
      <c r="R19" s="110"/>
      <c r="S19" s="110"/>
      <c r="T19" s="110"/>
      <c r="U19" s="110"/>
      <c r="V19" s="111"/>
      <c r="W19" s="112"/>
      <c r="X19" s="15"/>
      <c r="Y19" s="88" t="b">
        <v>0</v>
      </c>
      <c r="Z19" s="94"/>
      <c r="AA19" s="94"/>
      <c r="AB19" s="94"/>
      <c r="AC19" s="94"/>
      <c r="AD19" s="95"/>
      <c r="AE19" s="96"/>
      <c r="AF19" s="15"/>
      <c r="AG19" s="17"/>
      <c r="AH19" s="17"/>
      <c r="AI19" s="17"/>
      <c r="AJ19" s="93"/>
      <c r="AK19" s="93"/>
      <c r="AL19" s="93"/>
    </row>
    <row r="20" ht="39.0" customHeight="1">
      <c r="A20" s="113" t="s">
        <v>22</v>
      </c>
      <c r="B20" s="114"/>
      <c r="C20" s="115" t="s">
        <v>23</v>
      </c>
      <c r="D20" s="114"/>
      <c r="E20" s="115" t="s">
        <v>24</v>
      </c>
      <c r="F20" s="116"/>
      <c r="G20" s="15"/>
      <c r="H20" s="79" t="b">
        <v>0</v>
      </c>
      <c r="I20" s="103"/>
      <c r="J20" s="103"/>
      <c r="K20" s="103"/>
      <c r="L20" s="103"/>
      <c r="M20" s="104"/>
      <c r="N20" s="105"/>
      <c r="O20" s="15"/>
      <c r="P20" s="84" t="b">
        <v>0</v>
      </c>
      <c r="Q20" s="110"/>
      <c r="R20" s="110"/>
      <c r="S20" s="110"/>
      <c r="T20" s="110"/>
      <c r="U20" s="110"/>
      <c r="V20" s="111"/>
      <c r="W20" s="112" t="str">
        <f t="shared" ref="W20:W24" si="5">IF(ISBLANK($Q20), "", S20-U20)</f>
        <v/>
      </c>
      <c r="X20" s="15"/>
      <c r="Y20" s="88" t="b">
        <v>0</v>
      </c>
      <c r="Z20" s="94"/>
      <c r="AA20" s="94"/>
      <c r="AB20" s="94"/>
      <c r="AC20" s="94"/>
      <c r="AD20" s="95"/>
      <c r="AE20" s="96"/>
      <c r="AF20" s="15"/>
      <c r="AG20" s="17"/>
      <c r="AH20" s="17"/>
      <c r="AI20" s="17"/>
      <c r="AJ20" s="93"/>
      <c r="AK20" s="93"/>
      <c r="AL20" s="93"/>
    </row>
    <row r="21" ht="39.0" customHeight="1">
      <c r="A21" s="117" t="s">
        <v>54</v>
      </c>
      <c r="B21" s="114"/>
      <c r="C21" s="118" t="str">
        <f>F6</f>
        <v>£ </v>
      </c>
      <c r="D21" s="118">
        <v>3000.0</v>
      </c>
      <c r="E21" s="118" t="str">
        <f>F6</f>
        <v>£ </v>
      </c>
      <c r="F21" s="119">
        <v>2950.0</v>
      </c>
      <c r="G21" s="2"/>
      <c r="H21" s="79" t="b">
        <v>0</v>
      </c>
      <c r="I21" s="103"/>
      <c r="J21" s="103"/>
      <c r="K21" s="103"/>
      <c r="L21" s="103"/>
      <c r="M21" s="104"/>
      <c r="N21" s="105"/>
      <c r="O21" s="15"/>
      <c r="P21" s="84" t="b">
        <v>0</v>
      </c>
      <c r="Q21" s="120"/>
      <c r="R21" s="120"/>
      <c r="S21" s="120"/>
      <c r="T21" s="120"/>
      <c r="U21" s="120"/>
      <c r="V21" s="111"/>
      <c r="W21" s="112" t="str">
        <f t="shared" si="5"/>
        <v/>
      </c>
      <c r="X21" s="15"/>
      <c r="Y21" s="88" t="b">
        <v>0</v>
      </c>
      <c r="Z21" s="94"/>
      <c r="AA21" s="94"/>
      <c r="AB21" s="94"/>
      <c r="AC21" s="94"/>
      <c r="AD21" s="95"/>
      <c r="AE21" s="96"/>
      <c r="AF21" s="15"/>
      <c r="AG21" s="17"/>
      <c r="AH21" s="17"/>
      <c r="AI21" s="17"/>
      <c r="AJ21" s="93"/>
      <c r="AK21" s="93"/>
      <c r="AL21" s="93"/>
    </row>
    <row r="22" ht="39.0" customHeight="1">
      <c r="A22" s="117" t="s">
        <v>55</v>
      </c>
      <c r="B22" s="114"/>
      <c r="C22" s="118" t="str">
        <f>F6</f>
        <v>£ </v>
      </c>
      <c r="D22" s="118">
        <v>300.0</v>
      </c>
      <c r="E22" s="118" t="str">
        <f>F6</f>
        <v>£ </v>
      </c>
      <c r="F22" s="119">
        <v>280.0</v>
      </c>
      <c r="G22" s="2"/>
      <c r="H22" s="79" t="b">
        <v>0</v>
      </c>
      <c r="I22" s="103"/>
      <c r="J22" s="103"/>
      <c r="K22" s="103"/>
      <c r="L22" s="103"/>
      <c r="M22" s="104"/>
      <c r="N22" s="105"/>
      <c r="O22" s="15"/>
      <c r="P22" s="84" t="b">
        <v>0</v>
      </c>
      <c r="Q22" s="120"/>
      <c r="R22" s="120"/>
      <c r="S22" s="120"/>
      <c r="T22" s="120"/>
      <c r="U22" s="120"/>
      <c r="V22" s="111"/>
      <c r="W22" s="112" t="str">
        <f t="shared" si="5"/>
        <v/>
      </c>
      <c r="X22" s="15"/>
      <c r="Y22" s="88" t="b">
        <v>0</v>
      </c>
      <c r="Z22" s="94"/>
      <c r="AA22" s="94"/>
      <c r="AB22" s="94"/>
      <c r="AC22" s="94"/>
      <c r="AD22" s="95"/>
      <c r="AE22" s="96"/>
      <c r="AF22" s="15"/>
      <c r="AG22" s="17"/>
      <c r="AH22" s="17"/>
      <c r="AI22" s="17"/>
      <c r="AJ22" s="93"/>
      <c r="AK22" s="93"/>
      <c r="AL22" s="93"/>
    </row>
    <row r="23" ht="39.0" customHeight="1">
      <c r="A23" s="117" t="s">
        <v>56</v>
      </c>
      <c r="B23" s="114"/>
      <c r="C23" s="118" t="str">
        <f>F6</f>
        <v>£ </v>
      </c>
      <c r="D23" s="118">
        <v>100.0</v>
      </c>
      <c r="E23" s="118" t="str">
        <f>F6</f>
        <v>£ </v>
      </c>
      <c r="F23" s="119">
        <v>80.0</v>
      </c>
      <c r="G23" s="2"/>
      <c r="H23" s="79" t="b">
        <v>0</v>
      </c>
      <c r="I23" s="121"/>
      <c r="J23" s="121"/>
      <c r="K23" s="121"/>
      <c r="L23" s="121"/>
      <c r="M23" s="122"/>
      <c r="N23" s="123"/>
      <c r="O23" s="15"/>
      <c r="P23" s="84" t="b">
        <v>0</v>
      </c>
      <c r="Q23" s="120"/>
      <c r="R23" s="120"/>
      <c r="S23" s="120"/>
      <c r="T23" s="120"/>
      <c r="U23" s="120"/>
      <c r="V23" s="111"/>
      <c r="W23" s="112" t="str">
        <f t="shared" si="5"/>
        <v/>
      </c>
      <c r="X23" s="15"/>
      <c r="Y23" s="88" t="b">
        <v>0</v>
      </c>
      <c r="Z23" s="94"/>
      <c r="AA23" s="94"/>
      <c r="AB23" s="94"/>
      <c r="AC23" s="94"/>
      <c r="AD23" s="95"/>
      <c r="AE23" s="96"/>
      <c r="AF23" s="15"/>
      <c r="AG23" s="17"/>
      <c r="AH23" s="17"/>
      <c r="AI23" s="17"/>
      <c r="AJ23" s="93"/>
      <c r="AK23" s="93"/>
      <c r="AL23" s="93"/>
    </row>
    <row r="24" ht="39.0" customHeight="1">
      <c r="A24" s="124" t="s">
        <v>57</v>
      </c>
      <c r="B24" s="125"/>
      <c r="C24" s="126" t="str">
        <f>F6</f>
        <v>£ </v>
      </c>
      <c r="D24" s="126">
        <v>100.0</v>
      </c>
      <c r="E24" s="126" t="str">
        <f>F6</f>
        <v>£ </v>
      </c>
      <c r="F24" s="127">
        <v>70.0</v>
      </c>
      <c r="G24" s="2"/>
      <c r="H24" s="128" t="b">
        <v>0</v>
      </c>
      <c r="I24" s="129"/>
      <c r="J24" s="129"/>
      <c r="K24" s="129"/>
      <c r="L24" s="129"/>
      <c r="M24" s="130"/>
      <c r="N24" s="131"/>
      <c r="O24" s="15"/>
      <c r="P24" s="132" t="b">
        <v>0</v>
      </c>
      <c r="Q24" s="133"/>
      <c r="R24" s="133"/>
      <c r="S24" s="133"/>
      <c r="T24" s="133"/>
      <c r="U24" s="133"/>
      <c r="V24" s="134"/>
      <c r="W24" s="135" t="str">
        <f t="shared" si="5"/>
        <v/>
      </c>
      <c r="X24" s="15"/>
      <c r="Y24" s="136" t="b">
        <v>0</v>
      </c>
      <c r="Z24" s="137"/>
      <c r="AA24" s="137"/>
      <c r="AB24" s="137"/>
      <c r="AC24" s="137"/>
      <c r="AD24" s="138"/>
      <c r="AE24" s="139"/>
      <c r="AF24" s="15"/>
      <c r="AG24" s="17"/>
      <c r="AH24" s="17"/>
      <c r="AI24" s="17"/>
      <c r="AJ24" s="93"/>
      <c r="AK24" s="93"/>
      <c r="AL24" s="93"/>
    </row>
    <row r="25" ht="39.0" customHeight="1">
      <c r="A25" s="18"/>
      <c r="B25" s="18"/>
      <c r="C25" s="18"/>
      <c r="D25" s="18"/>
      <c r="E25" s="18"/>
      <c r="F25" s="18"/>
      <c r="G25" s="15"/>
      <c r="H25" s="140"/>
      <c r="I25" s="141"/>
      <c r="J25" s="141"/>
      <c r="K25" s="141"/>
      <c r="L25" s="141"/>
      <c r="M25" s="141"/>
      <c r="N25" s="141"/>
      <c r="O25" s="15"/>
      <c r="P25" s="142"/>
      <c r="Q25" s="143"/>
      <c r="R25" s="143"/>
      <c r="S25" s="143"/>
      <c r="T25" s="143"/>
      <c r="U25" s="143"/>
      <c r="V25" s="141"/>
      <c r="W25" s="141"/>
      <c r="X25" s="15"/>
      <c r="Y25" s="2"/>
      <c r="Z25" s="2"/>
      <c r="AA25" s="2"/>
      <c r="AB25" s="2"/>
      <c r="AC25" s="2"/>
      <c r="AD25" s="2"/>
      <c r="AE25" s="2"/>
      <c r="AF25" s="15"/>
      <c r="AG25" s="17"/>
      <c r="AH25" s="17"/>
      <c r="AI25" s="17"/>
      <c r="AJ25" s="93"/>
      <c r="AK25" s="93"/>
      <c r="AL25" s="93"/>
    </row>
    <row r="26" ht="39.0" customHeight="1">
      <c r="A26" s="144" t="s">
        <v>19</v>
      </c>
      <c r="B26" s="145"/>
      <c r="C26" s="145"/>
      <c r="D26" s="145"/>
      <c r="E26" s="145"/>
      <c r="F26" s="146"/>
      <c r="G26" s="15"/>
      <c r="H26" s="140"/>
      <c r="I26" s="141"/>
      <c r="J26" s="141"/>
      <c r="K26" s="141"/>
      <c r="L26" s="141"/>
      <c r="M26" s="141"/>
      <c r="N26" s="141"/>
      <c r="O26" s="15"/>
      <c r="P26" s="142"/>
      <c r="Q26" s="143"/>
      <c r="R26" s="143"/>
      <c r="S26" s="143"/>
      <c r="T26" s="143"/>
      <c r="U26" s="143"/>
      <c r="V26" s="141"/>
      <c r="W26" s="141"/>
      <c r="X26" s="15"/>
      <c r="Y26" s="17"/>
      <c r="Z26" s="17"/>
      <c r="AA26" s="17"/>
      <c r="AB26" s="2"/>
      <c r="AC26" s="2"/>
      <c r="AD26" s="2"/>
      <c r="AE26" s="2"/>
      <c r="AF26" s="15"/>
      <c r="AG26" s="17"/>
      <c r="AH26" s="17"/>
      <c r="AI26" s="17"/>
      <c r="AJ26" s="93"/>
      <c r="AK26" s="93"/>
      <c r="AL26" s="93"/>
    </row>
    <row r="27" ht="39.0" customHeight="1">
      <c r="A27" s="147" t="s">
        <v>22</v>
      </c>
      <c r="B27" s="148"/>
      <c r="C27" s="149" t="s">
        <v>23</v>
      </c>
      <c r="D27" s="148"/>
      <c r="E27" s="149" t="s">
        <v>24</v>
      </c>
      <c r="F27" s="150"/>
      <c r="G27" s="15"/>
      <c r="H27" s="140"/>
      <c r="I27" s="141"/>
      <c r="J27" s="141"/>
      <c r="K27" s="141"/>
      <c r="L27" s="141"/>
      <c r="M27" s="141"/>
      <c r="N27" s="141"/>
      <c r="O27" s="15"/>
      <c r="P27" s="142"/>
      <c r="Q27" s="143"/>
      <c r="R27" s="143"/>
      <c r="S27" s="143"/>
      <c r="T27" s="143"/>
      <c r="U27" s="143"/>
      <c r="V27" s="141"/>
      <c r="W27" s="141"/>
      <c r="X27" s="15"/>
      <c r="Y27" s="17"/>
      <c r="Z27" s="17"/>
      <c r="AA27" s="17"/>
      <c r="AB27" s="2"/>
      <c r="AC27" s="2"/>
      <c r="AD27" s="2"/>
      <c r="AE27" s="2"/>
      <c r="AF27" s="15"/>
      <c r="AG27" s="17"/>
      <c r="AH27" s="17"/>
      <c r="AI27" s="17"/>
      <c r="AJ27" s="93"/>
      <c r="AK27" s="93"/>
      <c r="AL27" s="93"/>
    </row>
    <row r="28" ht="39.0" customHeight="1">
      <c r="A28" s="151" t="s">
        <v>58</v>
      </c>
      <c r="B28" s="148"/>
      <c r="C28" s="152" t="str">
        <f>F6</f>
        <v>£ </v>
      </c>
      <c r="D28" s="152">
        <v>200.0</v>
      </c>
      <c r="E28" s="152" t="str">
        <f>F6</f>
        <v>£ </v>
      </c>
      <c r="F28" s="153">
        <v>200.0</v>
      </c>
      <c r="G28" s="15"/>
      <c r="H28" s="140"/>
      <c r="I28" s="141"/>
      <c r="J28" s="141"/>
      <c r="K28" s="141"/>
      <c r="L28" s="141"/>
      <c r="M28" s="141"/>
      <c r="N28" s="141"/>
      <c r="O28" s="15"/>
      <c r="P28" s="142"/>
      <c r="Q28" s="143"/>
      <c r="R28" s="143"/>
      <c r="S28" s="143"/>
      <c r="T28" s="143"/>
      <c r="U28" s="143"/>
      <c r="V28" s="141"/>
      <c r="W28" s="141"/>
      <c r="X28" s="15"/>
      <c r="Y28" s="17"/>
      <c r="Z28" s="17"/>
      <c r="AA28" s="17"/>
      <c r="AB28" s="2"/>
      <c r="AC28" s="2"/>
      <c r="AD28" s="2"/>
      <c r="AE28" s="2"/>
      <c r="AF28" s="15"/>
      <c r="AG28" s="17"/>
      <c r="AH28" s="17"/>
      <c r="AI28" s="17"/>
      <c r="AJ28" s="93"/>
      <c r="AK28" s="93"/>
      <c r="AL28" s="93"/>
    </row>
    <row r="29" ht="39.0" customHeight="1">
      <c r="A29" s="151" t="s">
        <v>59</v>
      </c>
      <c r="B29" s="148"/>
      <c r="C29" s="152" t="str">
        <f>F6</f>
        <v>£ </v>
      </c>
      <c r="D29" s="152">
        <v>150.0</v>
      </c>
      <c r="E29" s="152" t="str">
        <f>F6</f>
        <v>£ </v>
      </c>
      <c r="F29" s="153">
        <v>120.0</v>
      </c>
      <c r="G29" s="2"/>
      <c r="H29" s="140"/>
      <c r="I29" s="141"/>
      <c r="J29" s="141"/>
      <c r="K29" s="141"/>
      <c r="L29" s="141"/>
      <c r="M29" s="141"/>
      <c r="N29" s="141"/>
      <c r="O29" s="2"/>
      <c r="P29" s="142"/>
      <c r="Q29" s="143"/>
      <c r="R29" s="143"/>
      <c r="S29" s="143"/>
      <c r="T29" s="143"/>
      <c r="U29" s="143"/>
      <c r="V29" s="141"/>
      <c r="W29" s="141"/>
      <c r="X29" s="2"/>
      <c r="Y29" s="17"/>
      <c r="Z29" s="17"/>
      <c r="AA29" s="17"/>
      <c r="AB29" s="2"/>
      <c r="AC29" s="2"/>
      <c r="AD29" s="2"/>
      <c r="AE29" s="2"/>
      <c r="AF29" s="2"/>
      <c r="AG29" s="17"/>
      <c r="AH29" s="17"/>
      <c r="AI29" s="17"/>
      <c r="AJ29" s="93"/>
      <c r="AK29" s="93"/>
      <c r="AL29" s="93"/>
    </row>
    <row r="30" ht="39.0" customHeight="1">
      <c r="A30" s="151" t="s">
        <v>60</v>
      </c>
      <c r="B30" s="148"/>
      <c r="C30" s="152" t="str">
        <f>F6</f>
        <v>£ </v>
      </c>
      <c r="D30" s="152">
        <v>100.0</v>
      </c>
      <c r="E30" s="152" t="str">
        <f>F6</f>
        <v>£ </v>
      </c>
      <c r="F30" s="153">
        <v>80.0</v>
      </c>
      <c r="G30" s="2"/>
      <c r="H30" s="140"/>
      <c r="I30" s="141"/>
      <c r="J30" s="141"/>
      <c r="K30" s="141"/>
      <c r="L30" s="141"/>
      <c r="M30" s="141"/>
      <c r="N30" s="141"/>
      <c r="O30" s="2"/>
      <c r="P30" s="142"/>
      <c r="Q30" s="143"/>
      <c r="R30" s="143"/>
      <c r="S30" s="143"/>
      <c r="T30" s="143"/>
      <c r="U30" s="143"/>
      <c r="V30" s="141"/>
      <c r="W30" s="141"/>
      <c r="X30" s="2"/>
      <c r="Y30" s="17"/>
      <c r="Z30" s="17"/>
      <c r="AA30" s="17"/>
      <c r="AB30" s="2"/>
      <c r="AC30" s="2"/>
      <c r="AD30" s="2"/>
      <c r="AE30" s="2"/>
      <c r="AF30" s="2"/>
      <c r="AG30" s="17"/>
      <c r="AH30" s="17"/>
      <c r="AI30" s="17"/>
      <c r="AJ30" s="93"/>
      <c r="AK30" s="93"/>
      <c r="AL30" s="93"/>
    </row>
    <row r="31" ht="39.0" customHeight="1">
      <c r="A31" s="154" t="s">
        <v>61</v>
      </c>
      <c r="B31" s="155"/>
      <c r="C31" s="156" t="str">
        <f>F6</f>
        <v>£ </v>
      </c>
      <c r="D31" s="156">
        <v>120.0</v>
      </c>
      <c r="E31" s="156" t="str">
        <f>F6</f>
        <v>£ </v>
      </c>
      <c r="F31" s="157">
        <v>100.0</v>
      </c>
      <c r="G31" s="2"/>
      <c r="H31" s="140"/>
      <c r="I31" s="141"/>
      <c r="J31" s="141"/>
      <c r="K31" s="141"/>
      <c r="L31" s="141"/>
      <c r="M31" s="141"/>
      <c r="N31" s="141"/>
      <c r="O31" s="2"/>
      <c r="P31" s="142"/>
      <c r="Q31" s="143"/>
      <c r="R31" s="143"/>
      <c r="S31" s="143"/>
      <c r="T31" s="143"/>
      <c r="U31" s="143"/>
      <c r="V31" s="141"/>
      <c r="W31" s="141"/>
      <c r="X31" s="2"/>
      <c r="Y31" s="17"/>
      <c r="Z31" s="17"/>
      <c r="AA31" s="17"/>
      <c r="AB31" s="2"/>
      <c r="AC31" s="2"/>
      <c r="AD31" s="2"/>
      <c r="AE31" s="2"/>
      <c r="AF31" s="2"/>
      <c r="AG31" s="17"/>
      <c r="AH31" s="17"/>
      <c r="AI31" s="17"/>
      <c r="AJ31" s="93"/>
      <c r="AK31" s="93"/>
      <c r="AL31" s="93"/>
    </row>
    <row r="32" ht="31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17"/>
      <c r="Z32" s="17"/>
      <c r="AA32" s="17"/>
      <c r="AB32" s="17"/>
      <c r="AC32" s="17"/>
      <c r="AD32" s="17"/>
      <c r="AE32" s="17"/>
      <c r="AF32" s="2"/>
      <c r="AG32" s="17"/>
      <c r="AH32" s="17"/>
      <c r="AI32" s="17"/>
      <c r="AJ32" s="93"/>
      <c r="AK32" s="93"/>
      <c r="AL32" s="93"/>
    </row>
    <row r="33" ht="39.0" customHeight="1">
      <c r="A33" s="158" t="s">
        <v>62</v>
      </c>
      <c r="B33" s="51"/>
      <c r="C33" s="51"/>
      <c r="D33" s="51"/>
      <c r="E33" s="51"/>
      <c r="F33" s="52"/>
      <c r="G33" s="159"/>
      <c r="H33" s="160" t="s">
        <v>63</v>
      </c>
      <c r="I33" s="48"/>
      <c r="J33" s="48"/>
      <c r="K33" s="48"/>
      <c r="L33" s="48"/>
      <c r="M33" s="48"/>
      <c r="N33" s="49"/>
      <c r="O33" s="159"/>
      <c r="P33" s="50" t="s">
        <v>64</v>
      </c>
      <c r="Q33" s="51"/>
      <c r="R33" s="51"/>
      <c r="S33" s="51"/>
      <c r="T33" s="51"/>
      <c r="U33" s="51"/>
      <c r="V33" s="51"/>
      <c r="W33" s="52"/>
      <c r="X33" s="2"/>
      <c r="Y33" s="161" t="s">
        <v>65</v>
      </c>
      <c r="Z33" s="54"/>
      <c r="AA33" s="54"/>
      <c r="AB33" s="54"/>
      <c r="AC33" s="54"/>
      <c r="AD33" s="54"/>
      <c r="AE33" s="55"/>
      <c r="AF33" s="2"/>
      <c r="AG33" s="17"/>
      <c r="AH33" s="17"/>
      <c r="AI33" s="17"/>
      <c r="AJ33" s="93"/>
      <c r="AK33" s="93"/>
      <c r="AL33" s="93"/>
    </row>
    <row r="34" ht="39.0" customHeight="1">
      <c r="A34" s="162" t="s">
        <v>66</v>
      </c>
      <c r="B34" s="163" t="s">
        <v>67</v>
      </c>
      <c r="C34" s="69"/>
      <c r="D34" s="164" t="s">
        <v>22</v>
      </c>
      <c r="E34" s="163" t="s">
        <v>68</v>
      </c>
      <c r="F34" s="70"/>
      <c r="G34" s="165"/>
      <c r="H34" s="166" t="s">
        <v>22</v>
      </c>
      <c r="I34" s="167" t="s">
        <v>67</v>
      </c>
      <c r="J34" s="168"/>
      <c r="K34" s="64"/>
      <c r="L34" s="167" t="s">
        <v>69</v>
      </c>
      <c r="M34" s="168"/>
      <c r="N34" s="65"/>
      <c r="O34" s="165"/>
      <c r="P34" s="169" t="s">
        <v>22</v>
      </c>
      <c r="Q34" s="170" t="s">
        <v>67</v>
      </c>
      <c r="R34" s="171"/>
      <c r="S34" s="171"/>
      <c r="T34" s="69"/>
      <c r="U34" s="170" t="s">
        <v>69</v>
      </c>
      <c r="V34" s="171"/>
      <c r="W34" s="70"/>
      <c r="X34" s="2"/>
      <c r="Y34" s="172" t="s">
        <v>22</v>
      </c>
      <c r="Z34" s="173" t="s">
        <v>67</v>
      </c>
      <c r="AA34" s="174"/>
      <c r="AB34" s="57"/>
      <c r="AC34" s="173" t="s">
        <v>69</v>
      </c>
      <c r="AD34" s="174"/>
      <c r="AE34" s="74"/>
      <c r="AF34" s="2"/>
      <c r="AG34" s="2"/>
      <c r="AH34" s="2"/>
      <c r="AI34" s="2"/>
      <c r="AJ34" s="2"/>
      <c r="AK34" s="2"/>
      <c r="AL34" s="2"/>
    </row>
    <row r="35" ht="39.0" customHeight="1">
      <c r="A35" s="175">
        <v>46024.0</v>
      </c>
      <c r="B35" s="85" t="str">
        <f>F6</f>
        <v>£ </v>
      </c>
      <c r="C35" s="85">
        <v>300.0</v>
      </c>
      <c r="D35" s="85" t="s">
        <v>30</v>
      </c>
      <c r="E35" s="176" t="s">
        <v>70</v>
      </c>
      <c r="F35" s="70"/>
      <c r="G35" s="140"/>
      <c r="H35" s="177" t="str">
        <f>IFERROR(__xludf.DUMMYFUNCTION("FILTER(I11:I16,H11:H16=TRUE)"),"Rent")</f>
        <v>Rent</v>
      </c>
      <c r="I35" s="178" t="str">
        <f>F6</f>
        <v>£ </v>
      </c>
      <c r="J35" s="179">
        <f>IFERROR(__xludf.DUMMYFUNCTION("FILTER(N11:N16,H11:H16=TRUE)"),900.0)</f>
        <v>900</v>
      </c>
      <c r="K35" s="64"/>
      <c r="L35" s="180">
        <f t="shared" ref="L35:L40" si="6">J35/SUM($J$35:$K$40)</f>
        <v>0.679245283</v>
      </c>
      <c r="M35" s="168"/>
      <c r="N35" s="65"/>
      <c r="O35" s="142"/>
      <c r="P35" s="181" t="str">
        <f>IFERROR(__xludf.DUMMYFUNCTION("FILTER(Q11:Q18,P11:P18=TRUE)"),"Groceries")</f>
        <v>Groceries</v>
      </c>
      <c r="Q35" s="182" t="str">
        <f>F6</f>
        <v>£ </v>
      </c>
      <c r="R35" s="183">
        <f>IFERROR(__xludf.DUMMYFUNCTION("FILTER(U11:U18,P11:P18=TRUE)"),300.0)</f>
        <v>300</v>
      </c>
      <c r="S35" s="171"/>
      <c r="T35" s="69"/>
      <c r="U35" s="184">
        <f>R35/F14</f>
        <v>0.3045685279</v>
      </c>
      <c r="V35" s="171"/>
      <c r="W35" s="70"/>
      <c r="X35" s="2"/>
      <c r="Y35" s="185" t="str">
        <f>IFERROR(__xludf.DUMMYFUNCTION("FILTER(Z11:Z14,Y11:Y14=TRUE)"),"Credit Card 1")</f>
        <v>Credit Card 1</v>
      </c>
      <c r="Z35" s="186" t="str">
        <f>F6</f>
        <v>£ </v>
      </c>
      <c r="AA35" s="187">
        <f>IFERROR(__xludf.DUMMYFUNCTION("FILTER(AE11:AE14,Y11:Y14=TRUE)"),80.0)</f>
        <v>80</v>
      </c>
      <c r="AB35" s="57"/>
      <c r="AC35" s="188">
        <f>AA35/F16</f>
        <v>0.1379310345</v>
      </c>
      <c r="AD35" s="174"/>
      <c r="AE35" s="74"/>
      <c r="AF35" s="2"/>
      <c r="AG35" s="2"/>
      <c r="AH35" s="2"/>
      <c r="AI35" s="2"/>
      <c r="AJ35" s="2"/>
      <c r="AK35" s="2"/>
      <c r="AL35" s="2"/>
    </row>
    <row r="36" ht="39.0" customHeight="1">
      <c r="A36" s="175">
        <v>46025.0</v>
      </c>
      <c r="B36" s="85" t="str">
        <f>F6</f>
        <v>£ </v>
      </c>
      <c r="C36" s="85">
        <v>120.0</v>
      </c>
      <c r="D36" s="85" t="s">
        <v>34</v>
      </c>
      <c r="E36" s="176" t="s">
        <v>71</v>
      </c>
      <c r="F36" s="70"/>
      <c r="G36" s="140"/>
      <c r="H36" s="177" t="str">
        <f>IFERROR(__xludf.DUMMYFUNCTION("""COMPUTED_VALUE"""),"Electricity")</f>
        <v>Electricity</v>
      </c>
      <c r="I36" s="178" t="str">
        <f>F6</f>
        <v>£ </v>
      </c>
      <c r="J36" s="179">
        <f>IFERROR(__xludf.DUMMYFUNCTION("""COMPUTED_VALUE"""),110.0)</f>
        <v>110</v>
      </c>
      <c r="K36" s="64"/>
      <c r="L36" s="180">
        <f t="shared" si="6"/>
        <v>0.08301886792</v>
      </c>
      <c r="M36" s="168"/>
      <c r="N36" s="65"/>
      <c r="O36" s="142"/>
      <c r="P36" s="181" t="str">
        <f>IFERROR(__xludf.DUMMYFUNCTION("""COMPUTED_VALUE"""),"Fuel")</f>
        <v>Fuel</v>
      </c>
      <c r="Q36" s="182" t="str">
        <f>F6</f>
        <v>£ </v>
      </c>
      <c r="R36" s="183">
        <f>IFERROR(__xludf.DUMMYFUNCTION("""COMPUTED_VALUE"""),120.0)</f>
        <v>120</v>
      </c>
      <c r="S36" s="171"/>
      <c r="T36" s="69"/>
      <c r="U36" s="184">
        <f>R36/F14</f>
        <v>0.1218274112</v>
      </c>
      <c r="V36" s="171"/>
      <c r="W36" s="70"/>
      <c r="X36" s="2"/>
      <c r="Y36" s="185" t="str">
        <f>IFERROR(__xludf.DUMMYFUNCTION("""COMPUTED_VALUE"""),"Credit Card 2")</f>
        <v>Credit Card 2</v>
      </c>
      <c r="Z36" s="186" t="str">
        <f>F6</f>
        <v>£ </v>
      </c>
      <c r="AA36" s="187">
        <f>IFERROR(__xludf.DUMMYFUNCTION("""COMPUTED_VALUE"""),100.0)</f>
        <v>100</v>
      </c>
      <c r="AB36" s="57"/>
      <c r="AC36" s="188">
        <f>AA36/F16</f>
        <v>0.1724137931</v>
      </c>
      <c r="AD36" s="174"/>
      <c r="AE36" s="74"/>
      <c r="AF36" s="2"/>
      <c r="AG36" s="2"/>
      <c r="AH36" s="2"/>
      <c r="AI36" s="2"/>
      <c r="AJ36" s="2"/>
      <c r="AK36" s="2"/>
      <c r="AL36" s="2"/>
    </row>
    <row r="37" ht="39.0" customHeight="1">
      <c r="A37" s="175">
        <v>46026.0</v>
      </c>
      <c r="B37" s="85" t="str">
        <f>F6</f>
        <v>£ </v>
      </c>
      <c r="C37" s="85">
        <v>60.0</v>
      </c>
      <c r="D37" s="85" t="s">
        <v>38</v>
      </c>
      <c r="E37" s="189" t="s">
        <v>72</v>
      </c>
      <c r="F37" s="70"/>
      <c r="G37" s="140"/>
      <c r="H37" s="177" t="str">
        <f>IFERROR(__xludf.DUMMYFUNCTION("""COMPUTED_VALUE"""),"Water")</f>
        <v>Water</v>
      </c>
      <c r="I37" s="178" t="str">
        <f>F6</f>
        <v>£ </v>
      </c>
      <c r="J37" s="179">
        <f>IFERROR(__xludf.DUMMYFUNCTION("""COMPUTED_VALUE"""),35.0)</f>
        <v>35</v>
      </c>
      <c r="K37" s="64"/>
      <c r="L37" s="180">
        <f t="shared" si="6"/>
        <v>0.02641509434</v>
      </c>
      <c r="M37" s="168"/>
      <c r="N37" s="65"/>
      <c r="O37" s="142"/>
      <c r="P37" s="181" t="str">
        <f>IFERROR(__xludf.DUMMYFUNCTION("""COMPUTED_VALUE"""),"Transport")</f>
        <v>Transport</v>
      </c>
      <c r="Q37" s="182" t="str">
        <f>F6</f>
        <v>£ </v>
      </c>
      <c r="R37" s="183">
        <f>IFERROR(__xludf.DUMMYFUNCTION("""COMPUTED_VALUE"""),60.0)</f>
        <v>60</v>
      </c>
      <c r="S37" s="171"/>
      <c r="T37" s="69"/>
      <c r="U37" s="184">
        <f>R37/F14</f>
        <v>0.06091370558</v>
      </c>
      <c r="V37" s="171"/>
      <c r="W37" s="70"/>
      <c r="X37" s="2"/>
      <c r="Y37" s="185" t="str">
        <f>IFERROR(__xludf.DUMMYFUNCTION("""COMPUTED_VALUE"""),"Car Loan")</f>
        <v>Car Loan</v>
      </c>
      <c r="Z37" s="186" t="str">
        <f>F6</f>
        <v>£ </v>
      </c>
      <c r="AA37" s="187">
        <f>IFERROR(__xludf.DUMMYFUNCTION("""COMPUTED_VALUE"""),250.0)</f>
        <v>250</v>
      </c>
      <c r="AB37" s="57"/>
      <c r="AC37" s="188">
        <f>AA37/F16</f>
        <v>0.4310344828</v>
      </c>
      <c r="AD37" s="174"/>
      <c r="AE37" s="74"/>
      <c r="AF37" s="2"/>
      <c r="AG37" s="2"/>
      <c r="AH37" s="2"/>
      <c r="AI37" s="2"/>
      <c r="AJ37" s="2"/>
      <c r="AK37" s="2"/>
      <c r="AL37" s="2"/>
    </row>
    <row r="38" ht="39.0" customHeight="1">
      <c r="A38" s="175">
        <v>46037.0</v>
      </c>
      <c r="B38" s="85" t="str">
        <f>F6</f>
        <v>£ </v>
      </c>
      <c r="C38" s="85">
        <v>150.0</v>
      </c>
      <c r="D38" s="85" t="s">
        <v>42</v>
      </c>
      <c r="E38" s="176" t="s">
        <v>73</v>
      </c>
      <c r="F38" s="70"/>
      <c r="G38" s="140"/>
      <c r="H38" s="177" t="str">
        <f>IFERROR(__xludf.DUMMYFUNCTION("""COMPUTED_VALUE"""),"Internet")</f>
        <v>Internet</v>
      </c>
      <c r="I38" s="178" t="str">
        <f>F6</f>
        <v>£ </v>
      </c>
      <c r="J38" s="179">
        <f>IFERROR(__xludf.DUMMYFUNCTION("""COMPUTED_VALUE"""),60.0)</f>
        <v>60</v>
      </c>
      <c r="K38" s="64"/>
      <c r="L38" s="180">
        <f t="shared" si="6"/>
        <v>0.04528301887</v>
      </c>
      <c r="M38" s="168"/>
      <c r="N38" s="65"/>
      <c r="O38" s="142"/>
      <c r="P38" s="181" t="str">
        <f>IFERROR(__xludf.DUMMYFUNCTION("""COMPUTED_VALUE"""),"Dining Out")</f>
        <v>Dining Out</v>
      </c>
      <c r="Q38" s="182" t="str">
        <f>F6</f>
        <v>£ </v>
      </c>
      <c r="R38" s="183">
        <f>IFERROR(__xludf.DUMMYFUNCTION("""COMPUTED_VALUE"""),150.0)</f>
        <v>150</v>
      </c>
      <c r="S38" s="171"/>
      <c r="T38" s="69"/>
      <c r="U38" s="184">
        <f>R38/F14</f>
        <v>0.152284264</v>
      </c>
      <c r="V38" s="171"/>
      <c r="W38" s="70"/>
      <c r="X38" s="2"/>
      <c r="Y38" s="185" t="str">
        <f>IFERROR(__xludf.DUMMYFUNCTION("""COMPUTED_VALUE"""),"Personal Loan")</f>
        <v>Personal Loan</v>
      </c>
      <c r="Z38" s="186" t="str">
        <f>F6</f>
        <v>£ </v>
      </c>
      <c r="AA38" s="187">
        <f>IFERROR(__xludf.DUMMYFUNCTION("""COMPUTED_VALUE"""),150.0)</f>
        <v>150</v>
      </c>
      <c r="AB38" s="57"/>
      <c r="AC38" s="188">
        <f>AA38/F16</f>
        <v>0.2586206897</v>
      </c>
      <c r="AD38" s="174"/>
      <c r="AE38" s="74"/>
      <c r="AF38" s="2"/>
      <c r="AG38" s="2"/>
      <c r="AH38" s="2"/>
      <c r="AI38" s="2"/>
      <c r="AJ38" s="2"/>
      <c r="AK38" s="2"/>
      <c r="AL38" s="2"/>
    </row>
    <row r="39" ht="39.0" customHeight="1">
      <c r="A39" s="175">
        <v>46039.0</v>
      </c>
      <c r="B39" s="85" t="str">
        <f>F6</f>
        <v>£ </v>
      </c>
      <c r="C39" s="85">
        <v>120.0</v>
      </c>
      <c r="D39" s="85" t="s">
        <v>46</v>
      </c>
      <c r="E39" s="176" t="s">
        <v>74</v>
      </c>
      <c r="F39" s="70"/>
      <c r="G39" s="140"/>
      <c r="H39" s="177" t="str">
        <f>IFERROR(__xludf.DUMMYFUNCTION("""COMPUTED_VALUE"""),"Phone")</f>
        <v>Phone</v>
      </c>
      <c r="I39" s="178" t="str">
        <f>F6</f>
        <v>£ </v>
      </c>
      <c r="J39" s="179">
        <f>IFERROR(__xludf.DUMMYFUNCTION("""COMPUTED_VALUE"""),70.0)</f>
        <v>70</v>
      </c>
      <c r="K39" s="64"/>
      <c r="L39" s="180">
        <f t="shared" si="6"/>
        <v>0.05283018868</v>
      </c>
      <c r="M39" s="168"/>
      <c r="N39" s="65"/>
      <c r="O39" s="142"/>
      <c r="P39" s="181" t="str">
        <f>IFERROR(__xludf.DUMMYFUNCTION("""COMPUTED_VALUE"""),"Entertainment")</f>
        <v>Entertainment</v>
      </c>
      <c r="Q39" s="182" t="str">
        <f>F6</f>
        <v>£ </v>
      </c>
      <c r="R39" s="183">
        <f>IFERROR(__xludf.DUMMYFUNCTION("""COMPUTED_VALUE"""),120.0)</f>
        <v>120</v>
      </c>
      <c r="S39" s="171"/>
      <c r="T39" s="69"/>
      <c r="U39" s="184">
        <f>R39/F14</f>
        <v>0.1218274112</v>
      </c>
      <c r="V39" s="171"/>
      <c r="W39" s="70"/>
      <c r="X39" s="2"/>
      <c r="Y39" s="190"/>
      <c r="Z39" s="191"/>
      <c r="AA39" s="192" t="str">
        <f t="shared" ref="AA39:AA44" si="7">AE15</f>
        <v/>
      </c>
      <c r="AB39" s="57"/>
      <c r="AC39" s="193"/>
      <c r="AD39" s="174"/>
      <c r="AE39" s="74"/>
      <c r="AF39" s="2"/>
      <c r="AG39" s="2"/>
      <c r="AH39" s="2"/>
      <c r="AI39" s="2"/>
      <c r="AJ39" s="2"/>
      <c r="AK39" s="2"/>
      <c r="AL39" s="2"/>
    </row>
    <row r="40" ht="39.0" customHeight="1">
      <c r="A40" s="175">
        <v>46039.0</v>
      </c>
      <c r="B40" s="85" t="str">
        <f>F6</f>
        <v>£ </v>
      </c>
      <c r="C40" s="85">
        <v>140.0</v>
      </c>
      <c r="D40" s="85" t="s">
        <v>49</v>
      </c>
      <c r="E40" s="176" t="s">
        <v>75</v>
      </c>
      <c r="F40" s="70"/>
      <c r="G40" s="140"/>
      <c r="H40" s="177" t="str">
        <f>IFERROR(__xludf.DUMMYFUNCTION("""COMPUTED_VALUE"""),"Insurance")</f>
        <v>Insurance</v>
      </c>
      <c r="I40" s="178" t="str">
        <f>F6</f>
        <v>£ </v>
      </c>
      <c r="J40" s="179">
        <f>IFERROR(__xludf.DUMMYFUNCTION("""COMPUTED_VALUE"""),150.0)</f>
        <v>150</v>
      </c>
      <c r="K40" s="64"/>
      <c r="L40" s="180">
        <f t="shared" si="6"/>
        <v>0.1132075472</v>
      </c>
      <c r="M40" s="168"/>
      <c r="N40" s="65"/>
      <c r="O40" s="142"/>
      <c r="P40" s="181" t="str">
        <f>IFERROR(__xludf.DUMMYFUNCTION("""COMPUTED_VALUE"""),"Shopping")</f>
        <v>Shopping</v>
      </c>
      <c r="Q40" s="182" t="str">
        <f>F6</f>
        <v>£ </v>
      </c>
      <c r="R40" s="183">
        <f>IFERROR(__xludf.DUMMYFUNCTION("""COMPUTED_VALUE"""),140.0)</f>
        <v>140</v>
      </c>
      <c r="S40" s="171"/>
      <c r="T40" s="69"/>
      <c r="U40" s="184">
        <f>R40/F14</f>
        <v>0.1421319797</v>
      </c>
      <c r="V40" s="171"/>
      <c r="W40" s="70"/>
      <c r="X40" s="2"/>
      <c r="Y40" s="190"/>
      <c r="Z40" s="191"/>
      <c r="AA40" s="192" t="str">
        <f t="shared" si="7"/>
        <v/>
      </c>
      <c r="AB40" s="57"/>
      <c r="AC40" s="193"/>
      <c r="AD40" s="174"/>
      <c r="AE40" s="74"/>
      <c r="AF40" s="2"/>
      <c r="AG40" s="2"/>
      <c r="AH40" s="2"/>
      <c r="AI40" s="2"/>
      <c r="AJ40" s="2"/>
      <c r="AK40" s="2"/>
      <c r="AL40" s="2"/>
    </row>
    <row r="41" ht="39.0" customHeight="1">
      <c r="A41" s="194">
        <v>46043.0</v>
      </c>
      <c r="B41" s="195" t="str">
        <f>F6</f>
        <v>£ </v>
      </c>
      <c r="C41" s="195">
        <v>50.0</v>
      </c>
      <c r="D41" s="195" t="s">
        <v>51</v>
      </c>
      <c r="E41" s="196" t="s">
        <v>76</v>
      </c>
      <c r="F41" s="197"/>
      <c r="G41" s="140"/>
      <c r="H41" s="198"/>
      <c r="I41" s="199"/>
      <c r="J41" s="200" t="str">
        <f t="shared" ref="J41:J44" si="8">N17</f>
        <v/>
      </c>
      <c r="K41" s="64"/>
      <c r="L41" s="201"/>
      <c r="M41" s="168"/>
      <c r="N41" s="65"/>
      <c r="O41" s="142"/>
      <c r="P41" s="181" t="str">
        <f>IFERROR(__xludf.DUMMYFUNCTION("""COMPUTED_VALUE"""),"Gym")</f>
        <v>Gym</v>
      </c>
      <c r="Q41" s="182" t="str">
        <f>F6</f>
        <v>£ </v>
      </c>
      <c r="R41" s="183">
        <f>IFERROR(__xludf.DUMMYFUNCTION("""COMPUTED_VALUE"""),50.0)</f>
        <v>50</v>
      </c>
      <c r="S41" s="171"/>
      <c r="T41" s="69"/>
      <c r="U41" s="184">
        <f>R41/F14</f>
        <v>0.05076142132</v>
      </c>
      <c r="V41" s="171"/>
      <c r="W41" s="70"/>
      <c r="X41" s="2"/>
      <c r="Y41" s="190"/>
      <c r="Z41" s="191"/>
      <c r="AA41" s="192" t="str">
        <f t="shared" si="7"/>
        <v/>
      </c>
      <c r="AB41" s="57"/>
      <c r="AC41" s="193"/>
      <c r="AD41" s="174"/>
      <c r="AE41" s="74"/>
      <c r="AF41" s="2"/>
      <c r="AG41" s="2"/>
      <c r="AH41" s="2"/>
      <c r="AI41" s="2"/>
      <c r="AJ41" s="2"/>
      <c r="AK41" s="2"/>
      <c r="AL41" s="2"/>
    </row>
    <row r="42" ht="39.0" customHeight="1">
      <c r="A42" s="175">
        <v>46048.0</v>
      </c>
      <c r="B42" s="85" t="str">
        <f>F6</f>
        <v>£ </v>
      </c>
      <c r="C42" s="85">
        <v>45.0</v>
      </c>
      <c r="D42" s="85" t="s">
        <v>52</v>
      </c>
      <c r="E42" s="189" t="s">
        <v>77</v>
      </c>
      <c r="F42" s="70"/>
      <c r="G42" s="140"/>
      <c r="H42" s="198"/>
      <c r="I42" s="202"/>
      <c r="J42" s="200" t="str">
        <f t="shared" si="8"/>
        <v/>
      </c>
      <c r="K42" s="64"/>
      <c r="L42" s="201"/>
      <c r="M42" s="168"/>
      <c r="N42" s="65"/>
      <c r="O42" s="142"/>
      <c r="P42" s="203" t="str">
        <f>IFERROR(__xludf.DUMMYFUNCTION("""COMPUTED_VALUE"""),"Coffee")</f>
        <v>Coffee</v>
      </c>
      <c r="Q42" s="182" t="str">
        <f>F6</f>
        <v>£ </v>
      </c>
      <c r="R42" s="183">
        <f>IFERROR(__xludf.DUMMYFUNCTION("""COMPUTED_VALUE"""),45.0)</f>
        <v>45</v>
      </c>
      <c r="S42" s="171"/>
      <c r="T42" s="69"/>
      <c r="U42" s="184">
        <f>R42/F14</f>
        <v>0.04568527919</v>
      </c>
      <c r="V42" s="171"/>
      <c r="W42" s="70"/>
      <c r="X42" s="2"/>
      <c r="Y42" s="190"/>
      <c r="Z42" s="204"/>
      <c r="AA42" s="192" t="str">
        <f t="shared" si="7"/>
        <v/>
      </c>
      <c r="AB42" s="57"/>
      <c r="AC42" s="193"/>
      <c r="AD42" s="174"/>
      <c r="AE42" s="74"/>
      <c r="AF42" s="2"/>
      <c r="AG42" s="2"/>
      <c r="AH42" s="2"/>
      <c r="AI42" s="2"/>
      <c r="AJ42" s="2"/>
      <c r="AK42" s="2"/>
      <c r="AL42" s="2"/>
    </row>
    <row r="43" ht="37.5" customHeight="1">
      <c r="A43" s="175"/>
      <c r="B43" s="85"/>
      <c r="C43" s="85"/>
      <c r="D43" s="85"/>
      <c r="E43" s="189"/>
      <c r="F43" s="70"/>
      <c r="G43" s="205"/>
      <c r="H43" s="198"/>
      <c r="I43" s="202"/>
      <c r="J43" s="200" t="str">
        <f t="shared" si="8"/>
        <v/>
      </c>
      <c r="K43" s="64"/>
      <c r="L43" s="201"/>
      <c r="M43" s="168"/>
      <c r="N43" s="65"/>
      <c r="O43" s="17"/>
      <c r="P43" s="203"/>
      <c r="Q43" s="182"/>
      <c r="R43" s="183"/>
      <c r="S43" s="171"/>
      <c r="T43" s="69"/>
      <c r="U43" s="184"/>
      <c r="V43" s="171"/>
      <c r="W43" s="70"/>
      <c r="X43" s="2"/>
      <c r="Y43" s="190"/>
      <c r="Z43" s="204"/>
      <c r="AA43" s="192" t="str">
        <f t="shared" si="7"/>
        <v/>
      </c>
      <c r="AB43" s="57"/>
      <c r="AC43" s="193"/>
      <c r="AD43" s="174"/>
      <c r="AE43" s="74"/>
      <c r="AF43" s="2"/>
      <c r="AG43" s="2"/>
      <c r="AH43" s="2"/>
      <c r="AI43" s="2"/>
      <c r="AJ43" s="2"/>
      <c r="AK43" s="2"/>
      <c r="AL43" s="2"/>
    </row>
    <row r="44" ht="28.5" customHeight="1">
      <c r="A44" s="206"/>
      <c r="B44" s="207"/>
      <c r="C44" s="207"/>
      <c r="D44" s="207"/>
      <c r="E44" s="208"/>
      <c r="F44" s="209"/>
      <c r="G44" s="205"/>
      <c r="H44" s="210"/>
      <c r="I44" s="211"/>
      <c r="J44" s="212" t="str">
        <f t="shared" si="8"/>
        <v/>
      </c>
      <c r="K44" s="213"/>
      <c r="L44" s="214"/>
      <c r="M44" s="215"/>
      <c r="N44" s="216"/>
      <c r="O44" s="2"/>
      <c r="P44" s="217"/>
      <c r="Q44" s="218"/>
      <c r="R44" s="219"/>
      <c r="S44" s="220"/>
      <c r="T44" s="221"/>
      <c r="U44" s="222"/>
      <c r="V44" s="220"/>
      <c r="W44" s="209"/>
      <c r="X44" s="2"/>
      <c r="Y44" s="223"/>
      <c r="Z44" s="224"/>
      <c r="AA44" s="225" t="str">
        <f t="shared" si="7"/>
        <v/>
      </c>
      <c r="AB44" s="226"/>
      <c r="AC44" s="227"/>
      <c r="AD44" s="228"/>
      <c r="AE44" s="229"/>
      <c r="AF44" s="2"/>
      <c r="AG44" s="2"/>
      <c r="AH44" s="2"/>
      <c r="AI44" s="2"/>
      <c r="AJ44" s="2"/>
      <c r="AK44" s="2"/>
      <c r="AL44" s="2"/>
    </row>
    <row r="45" ht="28.5" customHeight="1">
      <c r="A45" s="2"/>
      <c r="B45" s="19"/>
      <c r="C45" s="205"/>
      <c r="D45" s="205"/>
      <c r="E45" s="205"/>
      <c r="F45" s="205"/>
      <c r="G45" s="205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 ht="28.5" customHeight="1">
      <c r="A46" s="2"/>
      <c r="B46" s="19"/>
      <c r="C46" s="205"/>
      <c r="D46" s="205"/>
      <c r="E46" s="205"/>
      <c r="F46" s="205"/>
      <c r="G46" s="205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 ht="28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30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 ht="28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30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 ht="28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30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 ht="28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30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 ht="28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30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 ht="28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 ht="28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 ht="28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 ht="28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 ht="28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 ht="28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 ht="28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 ht="28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 ht="28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 ht="28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 ht="28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 ht="28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 ht="28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 ht="28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 ht="28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 ht="28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 ht="28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 ht="28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 ht="28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 ht="28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 ht="28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 ht="28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 ht="28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 ht="28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 ht="28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 ht="28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 ht="28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 ht="28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 ht="28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 ht="28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 ht="28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 ht="28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 ht="28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 ht="28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 ht="28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 ht="28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 ht="28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 ht="28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 ht="28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 ht="28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 ht="28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 ht="28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 ht="28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 ht="28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 ht="28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 ht="28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 ht="28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 ht="28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 ht="28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 ht="28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 ht="28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 ht="28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 ht="28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 ht="28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 ht="28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 ht="28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 ht="28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 ht="28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 ht="28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 ht="28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 ht="28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 ht="28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 ht="28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 ht="28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 ht="28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 ht="28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 ht="28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 ht="28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 ht="28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 ht="28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 ht="28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 ht="28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 ht="28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 ht="28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 ht="28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 ht="28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 ht="28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 ht="28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 ht="28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 ht="28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 ht="28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 ht="28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 ht="28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 ht="28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 ht="28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 ht="28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 ht="28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 ht="28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 ht="28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 ht="28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 ht="28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 ht="28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 ht="28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 ht="28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 ht="28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 ht="28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 ht="28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 ht="28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 ht="28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 ht="28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 ht="28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 ht="28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 ht="28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 ht="28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 ht="28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 ht="28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 ht="28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 ht="28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 ht="28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 ht="28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 ht="28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 ht="28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 ht="28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 ht="28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 ht="28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 ht="28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 ht="28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 ht="28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 ht="28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 ht="28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 ht="28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 ht="28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 ht="28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 ht="28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 ht="28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 ht="28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 ht="28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 ht="28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 ht="28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 ht="28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 ht="28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 ht="28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 ht="28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 ht="28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 ht="28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 ht="28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 ht="28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 ht="28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 ht="28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 ht="28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 ht="28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 ht="28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 ht="28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 ht="28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 ht="28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 ht="28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 ht="28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 ht="28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 ht="28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 ht="28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 ht="28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 ht="28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 ht="28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 ht="28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 ht="28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 ht="28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 ht="28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 ht="28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 ht="28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 ht="28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 ht="28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 ht="28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 ht="28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 ht="28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 ht="28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 ht="28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 ht="28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 ht="28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 ht="28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 ht="28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 ht="28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 ht="28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 ht="28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 ht="28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 ht="28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 ht="28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 ht="28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 ht="28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 ht="28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 ht="28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 ht="28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 ht="28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 ht="28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 ht="28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 ht="28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 ht="28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 ht="28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 ht="28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 ht="28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 ht="28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 ht="28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 ht="28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 ht="28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 ht="28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 ht="28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 ht="28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 ht="28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 ht="28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 ht="28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 ht="28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 ht="28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 ht="28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 ht="28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 ht="28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 ht="28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 ht="28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 ht="28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 ht="28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 ht="28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 ht="28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 ht="28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 ht="28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 ht="28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 ht="28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 ht="28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 ht="28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 ht="28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 ht="28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 ht="28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 ht="28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 ht="28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 ht="28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 ht="28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 ht="28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 ht="28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 ht="28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 ht="28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 ht="28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 ht="28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 ht="28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 ht="28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 ht="28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 ht="28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 ht="28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 ht="28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 ht="28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 ht="28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 ht="28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 ht="28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 ht="28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 ht="28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 ht="28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 ht="28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 ht="28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 ht="28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 ht="28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 ht="28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 ht="28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 ht="28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 ht="28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 ht="28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 ht="28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 ht="28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 ht="28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 ht="28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 ht="28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 ht="28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 ht="28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 ht="28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 ht="28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 ht="28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 ht="28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 ht="28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 ht="28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 ht="28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 ht="28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 ht="28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 ht="28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 ht="28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 ht="28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 ht="28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 ht="28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 ht="28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 ht="28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 ht="28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 ht="28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 ht="28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 ht="28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 ht="28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 ht="28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 ht="28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 ht="28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 ht="28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 ht="28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 ht="28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 ht="28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 ht="28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 ht="28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 ht="28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 ht="28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 ht="28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 ht="28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 ht="28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 ht="28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 ht="28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 ht="28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 ht="28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 ht="28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 ht="28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 ht="28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 ht="28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 ht="28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 ht="28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 ht="28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 ht="28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 ht="28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 ht="28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 ht="28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 ht="28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 ht="28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 ht="28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 ht="28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 ht="28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 ht="28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 ht="28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 ht="28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 ht="28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 ht="28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 ht="28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 ht="28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 ht="28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 ht="28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 ht="28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 ht="28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 ht="28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 ht="28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 ht="28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 ht="28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 ht="28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 ht="28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 ht="28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 ht="28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 ht="28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 ht="28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 ht="28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 ht="28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 ht="28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 ht="28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 ht="28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 ht="28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 ht="28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 ht="28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 ht="28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 ht="28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 ht="28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 ht="28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 ht="28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 ht="28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 ht="28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 ht="28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 ht="28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 ht="28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 ht="28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 ht="28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 ht="28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 ht="28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 ht="28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 ht="28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 ht="28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 ht="28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 ht="28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 ht="28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 ht="28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 ht="28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 ht="28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 ht="28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 ht="28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 ht="28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 ht="28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 ht="28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 ht="28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 ht="28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 ht="28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 ht="28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 ht="28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 ht="28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 ht="28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 ht="28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 ht="28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 ht="28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 ht="28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 ht="28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 ht="28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 ht="28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 ht="28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 ht="28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 ht="28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 ht="28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 ht="28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 ht="28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 ht="28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 ht="28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 ht="28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 ht="28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 ht="28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 ht="28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 ht="28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 ht="28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 ht="28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 ht="28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 ht="28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 ht="28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 ht="28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 ht="28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 ht="28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 ht="28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 ht="28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 ht="28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 ht="28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 ht="28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 ht="28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 ht="28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 ht="28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 ht="28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 ht="28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 ht="28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 ht="28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 ht="28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 ht="28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 ht="28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 ht="28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 ht="28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 ht="28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 ht="28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 ht="28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 ht="28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 ht="28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 ht="28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 ht="28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 ht="28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 ht="28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 ht="28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 ht="28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 ht="28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 ht="28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 ht="28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 ht="28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 ht="28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 ht="28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 ht="28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 ht="28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 ht="28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 ht="28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 ht="28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 ht="28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 ht="28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 ht="28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 ht="28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 ht="28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 ht="28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 ht="28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 ht="28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 ht="28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 ht="28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 ht="28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 ht="28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 ht="28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 ht="28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 ht="28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 ht="28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 ht="28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 ht="28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 ht="28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 ht="28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 ht="28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 ht="28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 ht="28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 ht="28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 ht="28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 ht="28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 ht="28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 ht="28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 ht="28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 ht="28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 ht="28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 ht="28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 ht="28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 ht="28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 ht="28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 ht="28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 ht="28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 ht="28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 ht="28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 ht="28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 ht="28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 ht="28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 ht="28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 ht="28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 ht="28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 ht="28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 ht="28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 ht="28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 ht="28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 ht="28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 ht="28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 ht="28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 ht="28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 ht="28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 ht="28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 ht="28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 ht="28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 ht="28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 ht="28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 ht="28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 ht="28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 ht="28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 ht="28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 ht="28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 ht="28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 ht="28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 ht="28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 ht="28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 ht="28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 ht="28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 ht="28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 ht="28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 ht="28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 ht="28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 ht="28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 ht="28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 ht="28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 ht="28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 ht="28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 ht="28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 ht="28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 ht="28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 ht="28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 ht="28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 ht="28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 ht="28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 ht="28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 ht="28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 ht="28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 ht="28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 ht="28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 ht="28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 ht="28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 ht="28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 ht="28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 ht="28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 ht="28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 ht="28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 ht="28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 ht="28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 ht="28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 ht="28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 ht="28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 ht="28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 ht="28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 ht="28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 ht="28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 ht="28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 ht="28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 ht="28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 ht="28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 ht="28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 ht="28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 ht="28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 ht="28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 ht="28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 ht="28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 ht="28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 ht="28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 ht="28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 ht="28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 ht="28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 ht="28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 ht="28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 ht="28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 ht="28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 ht="28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 ht="28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 ht="28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 ht="28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 ht="28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 ht="28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 ht="28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 ht="28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 ht="28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 ht="28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 ht="28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 ht="28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 ht="28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 ht="28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 ht="28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 ht="28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 ht="28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 ht="28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 ht="28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 ht="28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 ht="28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 ht="28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 ht="28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 ht="28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 ht="28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 ht="28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 ht="28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 ht="28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 ht="28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 ht="28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 ht="28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 ht="28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 ht="28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 ht="28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 ht="28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 ht="28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 ht="28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 ht="28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 ht="28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 ht="28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 ht="28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 ht="28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 ht="28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 ht="28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 ht="28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 ht="28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 ht="28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 ht="28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 ht="28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 ht="28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 ht="28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 ht="28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 ht="28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 ht="28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 ht="28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 ht="28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 ht="28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 ht="28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 ht="28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 ht="28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 ht="28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 ht="28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 ht="28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 ht="28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 ht="28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 ht="28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 ht="28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 ht="28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 ht="28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 ht="28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 ht="28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 ht="28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 ht="28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 ht="28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 ht="28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 ht="28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 ht="28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 ht="28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 ht="28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 ht="28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 ht="28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 ht="28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 ht="28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 ht="28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 ht="28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 ht="28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 ht="28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 ht="28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 ht="28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 ht="28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 ht="28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 ht="28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 ht="28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 ht="28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 ht="28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 ht="28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 ht="28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 ht="28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 ht="28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 ht="28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 ht="28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 ht="28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 ht="28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 ht="28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 ht="28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 ht="28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 ht="28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 ht="28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 ht="28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 ht="28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 ht="28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 ht="28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 ht="28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 ht="28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 ht="28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 ht="28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 ht="28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 ht="28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 ht="28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 ht="28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 ht="28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 ht="28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 ht="28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 ht="28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 ht="28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 ht="28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 ht="28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 ht="28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 ht="28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 ht="28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 ht="28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 ht="28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 ht="28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 ht="28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 ht="28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 ht="28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 ht="28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 ht="28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 ht="28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 ht="28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 ht="28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 ht="28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 ht="28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 ht="28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 ht="28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 ht="28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 ht="28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 ht="28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 ht="28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 ht="28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 ht="28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 ht="28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 ht="28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 ht="28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 ht="28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 ht="28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 ht="28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 ht="28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 ht="28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 ht="28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 ht="28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 ht="28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 ht="28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 ht="28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 ht="28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 ht="28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 ht="28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 ht="28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 ht="28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 ht="28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 ht="28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 ht="28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 ht="28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 ht="28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 ht="28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 ht="28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 ht="28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 ht="28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 ht="28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 ht="28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 ht="28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 ht="28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 ht="28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 ht="28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 ht="28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 ht="28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 ht="28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 ht="28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 ht="28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 ht="28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 ht="28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 ht="28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 ht="28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 ht="28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 ht="28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 ht="28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 ht="28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 ht="28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 ht="28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 ht="28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 ht="28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 ht="28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 ht="28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 ht="28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 ht="28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 ht="28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 ht="28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 ht="28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 ht="28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 ht="28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 ht="28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 ht="28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 ht="28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 ht="28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 ht="28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 ht="28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 ht="28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 ht="28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 ht="28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 ht="28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 ht="28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 ht="28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 ht="28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 ht="28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 ht="28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 ht="28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 ht="28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 ht="28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 ht="28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 ht="28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 ht="28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 ht="28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 ht="28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 ht="28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 ht="28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 ht="28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 ht="28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 ht="28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 ht="28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 ht="28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 ht="28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 ht="28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 ht="28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 ht="28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 ht="28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 ht="28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 ht="28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 ht="28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 ht="28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 ht="28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 ht="28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 ht="28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 ht="28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 ht="28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 ht="28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 ht="28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 ht="28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 ht="28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 ht="28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 ht="28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 ht="28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 ht="28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 ht="28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 ht="28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 ht="28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 ht="28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 ht="28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 ht="28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 ht="28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 ht="28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 ht="28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 ht="28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 ht="28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 ht="28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 ht="28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 ht="28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 ht="28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 ht="28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 ht="28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 ht="28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 ht="28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 ht="28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 ht="28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 ht="28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 ht="28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 ht="28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 ht="28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 ht="28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 ht="28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 ht="28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 ht="28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 ht="28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 ht="28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 ht="28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 ht="28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 ht="28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 ht="28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 ht="28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 ht="28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 ht="28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 ht="28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 ht="28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 ht="28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 ht="28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 ht="28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 ht="28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 ht="28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 ht="28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 ht="28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 ht="28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 ht="28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 ht="28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 ht="28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 ht="28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 ht="28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 ht="28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 ht="28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 ht="28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 ht="28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 ht="28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 ht="28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 ht="28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 ht="28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 ht="28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 ht="28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 ht="28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 ht="28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 ht="28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 ht="28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 ht="28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 ht="28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 ht="28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 ht="28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 ht="28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 ht="28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 ht="28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 ht="28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 ht="28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 ht="28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 ht="28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 ht="28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 ht="28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 ht="28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 ht="28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 ht="28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 ht="28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 ht="28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 ht="28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17"/>
      <c r="Z969" s="17"/>
      <c r="AA969" s="17"/>
      <c r="AB969" s="17"/>
      <c r="AC969" s="17"/>
      <c r="AD969" s="17"/>
      <c r="AE969" s="17"/>
      <c r="AF969" s="2"/>
      <c r="AG969" s="2"/>
      <c r="AH969" s="2"/>
      <c r="AI969" s="2"/>
      <c r="AJ969" s="2"/>
      <c r="AK969" s="2"/>
      <c r="AL969" s="2"/>
    </row>
    <row r="970" ht="28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17"/>
      <c r="Z970" s="17"/>
      <c r="AA970" s="17"/>
      <c r="AB970" s="17"/>
      <c r="AC970" s="17"/>
      <c r="AD970" s="17"/>
      <c r="AE970" s="17"/>
      <c r="AF970" s="2"/>
      <c r="AG970" s="2"/>
      <c r="AH970" s="2"/>
      <c r="AI970" s="2"/>
      <c r="AJ970" s="2"/>
      <c r="AK970" s="2"/>
      <c r="AL970" s="2"/>
    </row>
    <row r="971" ht="28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17"/>
      <c r="Z971" s="17"/>
      <c r="AA971" s="17"/>
      <c r="AB971" s="17"/>
      <c r="AC971" s="17"/>
      <c r="AD971" s="17"/>
      <c r="AE971" s="17"/>
      <c r="AF971" s="2"/>
      <c r="AG971" s="2"/>
      <c r="AH971" s="2"/>
      <c r="AI971" s="2"/>
      <c r="AJ971" s="2"/>
      <c r="AK971" s="2"/>
      <c r="AL971" s="2"/>
    </row>
    <row r="972" ht="28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17"/>
      <c r="Z972" s="17"/>
      <c r="AA972" s="17"/>
      <c r="AB972" s="17"/>
      <c r="AC972" s="17"/>
      <c r="AD972" s="17"/>
      <c r="AE972" s="17"/>
      <c r="AF972" s="2"/>
      <c r="AG972" s="2"/>
      <c r="AH972" s="2"/>
      <c r="AI972" s="2"/>
      <c r="AJ972" s="2"/>
      <c r="AK972" s="2"/>
      <c r="AL972" s="2"/>
    </row>
    <row r="973" ht="28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17"/>
      <c r="Z973" s="17"/>
      <c r="AA973" s="17"/>
      <c r="AB973" s="17"/>
      <c r="AC973" s="17"/>
      <c r="AD973" s="17"/>
      <c r="AE973" s="17"/>
      <c r="AF973" s="2"/>
      <c r="AG973" s="2"/>
      <c r="AH973" s="2"/>
      <c r="AI973" s="2"/>
      <c r="AJ973" s="2"/>
      <c r="AK973" s="2"/>
      <c r="AL973" s="2"/>
    </row>
    <row r="974" ht="28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17"/>
      <c r="Z974" s="17"/>
      <c r="AA974" s="17"/>
      <c r="AB974" s="17"/>
      <c r="AC974" s="17"/>
      <c r="AD974" s="17"/>
      <c r="AE974" s="17"/>
      <c r="AF974" s="2"/>
      <c r="AG974" s="2"/>
      <c r="AH974" s="2"/>
      <c r="AI974" s="2"/>
      <c r="AJ974" s="2"/>
      <c r="AK974" s="2"/>
      <c r="AL974" s="2"/>
    </row>
    <row r="975" ht="28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17"/>
      <c r="Z975" s="17"/>
      <c r="AA975" s="17"/>
      <c r="AB975" s="17"/>
      <c r="AC975" s="17"/>
      <c r="AD975" s="17"/>
      <c r="AE975" s="17"/>
      <c r="AF975" s="2"/>
      <c r="AG975" s="2"/>
      <c r="AH975" s="2"/>
      <c r="AI975" s="2"/>
      <c r="AJ975" s="2"/>
      <c r="AK975" s="2"/>
      <c r="AL975" s="2"/>
    </row>
  </sheetData>
  <mergeCells count="131">
    <mergeCell ref="AA35:AB35"/>
    <mergeCell ref="AA36:AB36"/>
    <mergeCell ref="AA37:AB37"/>
    <mergeCell ref="AC37:AE37"/>
    <mergeCell ref="AA38:AB38"/>
    <mergeCell ref="AC38:AE38"/>
    <mergeCell ref="AA39:AB39"/>
    <mergeCell ref="AC39:AE39"/>
    <mergeCell ref="U34:W34"/>
    <mergeCell ref="Z34:AB34"/>
    <mergeCell ref="R35:T35"/>
    <mergeCell ref="U35:W35"/>
    <mergeCell ref="AC35:AE35"/>
    <mergeCell ref="U36:W36"/>
    <mergeCell ref="AC36:AE36"/>
    <mergeCell ref="R40:T40"/>
    <mergeCell ref="U40:W40"/>
    <mergeCell ref="AA40:AB40"/>
    <mergeCell ref="AC40:AE40"/>
    <mergeCell ref="R36:T36"/>
    <mergeCell ref="R37:T37"/>
    <mergeCell ref="U37:W37"/>
    <mergeCell ref="R38:T38"/>
    <mergeCell ref="U38:W38"/>
    <mergeCell ref="R39:T39"/>
    <mergeCell ref="U39:W39"/>
    <mergeCell ref="R41:T41"/>
    <mergeCell ref="U41:W41"/>
    <mergeCell ref="AA41:AB41"/>
    <mergeCell ref="AC41:AE41"/>
    <mergeCell ref="U42:W42"/>
    <mergeCell ref="AA42:AB42"/>
    <mergeCell ref="AC42:AE42"/>
    <mergeCell ref="AA44:AB44"/>
    <mergeCell ref="AC44:AE44"/>
    <mergeCell ref="R42:T42"/>
    <mergeCell ref="R43:T43"/>
    <mergeCell ref="U43:W43"/>
    <mergeCell ref="AA43:AB43"/>
    <mergeCell ref="AC43:AE43"/>
    <mergeCell ref="R44:T44"/>
    <mergeCell ref="U44:W44"/>
    <mergeCell ref="A4:E4"/>
    <mergeCell ref="A5:E5"/>
    <mergeCell ref="A1:F1"/>
    <mergeCell ref="H1:I6"/>
    <mergeCell ref="K1:K3"/>
    <mergeCell ref="L1:N4"/>
    <mergeCell ref="A2:F2"/>
    <mergeCell ref="J4:K4"/>
    <mergeCell ref="A7:E7"/>
    <mergeCell ref="T10:U10"/>
    <mergeCell ref="V10:W10"/>
    <mergeCell ref="AB10:AC10"/>
    <mergeCell ref="AD10:AE10"/>
    <mergeCell ref="K5:N7"/>
    <mergeCell ref="H9:N9"/>
    <mergeCell ref="P9:W9"/>
    <mergeCell ref="Y9:AE9"/>
    <mergeCell ref="K10:L10"/>
    <mergeCell ref="M10:N10"/>
    <mergeCell ref="R10:S10"/>
    <mergeCell ref="A3:F3"/>
    <mergeCell ref="A6:E6"/>
    <mergeCell ref="A9:F9"/>
    <mergeCell ref="A10:B10"/>
    <mergeCell ref="C10:D10"/>
    <mergeCell ref="E10:F10"/>
    <mergeCell ref="A11:B11"/>
    <mergeCell ref="A26:F26"/>
    <mergeCell ref="A27:B27"/>
    <mergeCell ref="C27:D27"/>
    <mergeCell ref="E27:F27"/>
    <mergeCell ref="P33:W33"/>
    <mergeCell ref="Y33:AE33"/>
    <mergeCell ref="Q34:T34"/>
    <mergeCell ref="AC34:AE34"/>
    <mergeCell ref="E43:F43"/>
    <mergeCell ref="E44:F44"/>
    <mergeCell ref="E36:F36"/>
    <mergeCell ref="E37:F37"/>
    <mergeCell ref="E38:F38"/>
    <mergeCell ref="E39:F39"/>
    <mergeCell ref="E40:F40"/>
    <mergeCell ref="E41:F41"/>
    <mergeCell ref="E42:F42"/>
    <mergeCell ref="A12:B12"/>
    <mergeCell ref="A13:B13"/>
    <mergeCell ref="A14:B14"/>
    <mergeCell ref="A15:B15"/>
    <mergeCell ref="A16:B16"/>
    <mergeCell ref="A17:B17"/>
    <mergeCell ref="A19:F19"/>
    <mergeCell ref="A20:B20"/>
    <mergeCell ref="C20:D20"/>
    <mergeCell ref="E20:F20"/>
    <mergeCell ref="A21:B21"/>
    <mergeCell ref="A22:B22"/>
    <mergeCell ref="A23:B23"/>
    <mergeCell ref="A24:B24"/>
    <mergeCell ref="A28:B28"/>
    <mergeCell ref="A29:B29"/>
    <mergeCell ref="A30:B30"/>
    <mergeCell ref="A31:B31"/>
    <mergeCell ref="A33:F33"/>
    <mergeCell ref="H33:N33"/>
    <mergeCell ref="B34:C34"/>
    <mergeCell ref="L34:N34"/>
    <mergeCell ref="E34:F34"/>
    <mergeCell ref="I34:K34"/>
    <mergeCell ref="E35:F35"/>
    <mergeCell ref="J35:K35"/>
    <mergeCell ref="L35:N35"/>
    <mergeCell ref="J36:K36"/>
    <mergeCell ref="L36:N36"/>
    <mergeCell ref="J40:K40"/>
    <mergeCell ref="J41:K41"/>
    <mergeCell ref="J42:K42"/>
    <mergeCell ref="J43:K43"/>
    <mergeCell ref="J44:K44"/>
    <mergeCell ref="L41:N41"/>
    <mergeCell ref="L42:N42"/>
    <mergeCell ref="L43:N43"/>
    <mergeCell ref="L44:N44"/>
    <mergeCell ref="J37:K37"/>
    <mergeCell ref="L37:N37"/>
    <mergeCell ref="J38:K38"/>
    <mergeCell ref="L38:N38"/>
    <mergeCell ref="J39:K39"/>
    <mergeCell ref="L39:N39"/>
    <mergeCell ref="L40:N40"/>
  </mergeCells>
  <dataValidations>
    <dataValidation type="list" allowBlank="1" showErrorMessage="1" sqref="F6">
      <formula1>"₹ ,$ ,£ ,¥ ,€ ,None"</formula1>
    </dataValidation>
  </dataValidations>
  <printOptions gridLines="1" horizontalCentered="1"/>
  <pageMargins bottom="0.39370078740157477" footer="0.0" header="0.0" left="0.39370078740157477" right="0.39370078740157477" top="0.39370078740157477"/>
  <pageSetup fitToHeight="0" paperSize="9" cellComments="atEnd" orientation="landscape" pageOrder="overThenDown"/>
  <drawing r:id="rId1"/>
</worksheet>
</file>